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&amp;A Engine" sheetId="1" r:id="rId4"/>
    <sheet state="visible" name="Student Calculator" sheetId="2" r:id="rId5"/>
    <sheet state="visible" name="Career Match Engine" sheetId="3" r:id="rId6"/>
    <sheet state="visible" name="Thresholds &amp; Integration" sheetId="4" r:id="rId7"/>
  </sheets>
  <definedNames/>
  <calcPr/>
</workbook>
</file>

<file path=xl/sharedStrings.xml><?xml version="1.0" encoding="utf-8"?>
<sst xmlns="http://schemas.openxmlformats.org/spreadsheetml/2006/main" count="769" uniqueCount="529">
  <si>
    <t>LOCUS  ·  PSYCHOMETRIC SCORING ENGINE  ·  25-QUESTION INSTRUMENT</t>
  </si>
  <si>
    <t>Holland (RIASEC)  ·  Big Five (OCEAN)  ·  Self-Determination Theory  ·  Multiple Intelligences  ·  Career Decision-Making</t>
  </si>
  <si>
    <t>SCORE COLUMNS →  H = Holland RIASEC  |  O = Big Five OCEAN  |  S = Self-Determination Theory  |  M = Multiple Intelligences  |  D = Decision-Making Readiness</t>
  </si>
  <si>
    <t>Q#</t>
  </si>
  <si>
    <t>Question / Scenario</t>
  </si>
  <si>
    <t>Answer Option</t>
  </si>
  <si>
    <t>H</t>
  </si>
  <si>
    <t>O</t>
  </si>
  <si>
    <t>S</t>
  </si>
  <si>
    <t>M</t>
  </si>
  <si>
    <t>D</t>
  </si>
  <si>
    <t>Theory Focus</t>
  </si>
  <si>
    <t>Construct Measured</t>
  </si>
  <si>
    <t>Your college fest committee needs volunteers. Which role do you sign up for without hesitation?</t>
  </si>
  <si>
    <t>A — Set up and manage the stage equipment and sound system</t>
  </si>
  <si>
    <t>Holland</t>
  </si>
  <si>
    <t>Realistic (R)</t>
  </si>
  <si>
    <t>B — Research and design the event theme with data from past fests</t>
  </si>
  <si>
    <t>Holland + SDT</t>
  </si>
  <si>
    <t>Investigative (I) + Autonomy</t>
  </si>
  <si>
    <t>C — Coordinate all volunteers, make sure everyone has a role</t>
  </si>
  <si>
    <t>Holland + MI</t>
  </si>
  <si>
    <t>Social (S) + Interpersonal Intel</t>
  </si>
  <si>
    <t>D — Promote the fest on social media and design creatives</t>
  </si>
  <si>
    <t>Artistic (A)</t>
  </si>
  <si>
    <t>E — Handle registrations, budget tracking, and vendor payments</t>
  </si>
  <si>
    <t>Conventional (C)</t>
  </si>
  <si>
    <t>You have a major exam in 3 weeks and a club event happening this weekend. What do you actually do?</t>
  </si>
  <si>
    <t>A — Skip the event, start studying immediately with a fixed schedule</t>
  </si>
  <si>
    <t>Big Five</t>
  </si>
  <si>
    <t>Conscientiousness (High)</t>
  </si>
  <si>
    <t>B — Attend the event but study every other day leading up to the exam</t>
  </si>
  <si>
    <t>Conscientiousness (Mid)</t>
  </si>
  <si>
    <t>C — Attend the event and cram the night before the exam</t>
  </si>
  <si>
    <t>Conscientiousness (Low)</t>
  </si>
  <si>
    <t>D — Delegate your club responsibilities to someone else so you can prepare</t>
  </si>
  <si>
    <t>Big Five + SDT</t>
  </si>
  <si>
    <t>Conscientiousness + Competence</t>
  </si>
  <si>
    <t>You get two internship offers. Offer A pays ₹25,000/month in a field you find boring. Offer B pays ₹8,000 in a field that genuinely interests you. What do you pick?</t>
  </si>
  <si>
    <t>A — Offer A. Money now is more important</t>
  </si>
  <si>
    <t>SDT</t>
  </si>
  <si>
    <t>Extrinsic Motivation</t>
  </si>
  <si>
    <t>B — Offer B. The learning matters more than the pay at this stage</t>
  </si>
  <si>
    <t>Intrinsic Motivation + Autonomy</t>
  </si>
  <si>
    <t>C — Negotiate Offer B's pay upward before deciding</t>
  </si>
  <si>
    <t>SDT + CDM</t>
  </si>
  <si>
    <t>Autonomy + Decision-Making</t>
  </si>
  <si>
    <t>D — Ask family, then decide based on their input</t>
  </si>
  <si>
    <t>Extrinsic + Relatedness low</t>
  </si>
  <si>
    <t>A friend describes their startup idea to you. What's the first thing your mind does?</t>
  </si>
  <si>
    <t>A — Start calculating if the numbers actually work — market size, costs, margins</t>
  </si>
  <si>
    <t>MI</t>
  </si>
  <si>
    <t>Logical-Mathematical</t>
  </si>
  <si>
    <t>B — Think about how to tell the story to investors or customers</t>
  </si>
  <si>
    <t>Linguistic</t>
  </si>
  <si>
    <t>C — Visualise the product — what it looks like, how it flows</t>
  </si>
  <si>
    <t>Spatial</t>
  </si>
  <si>
    <t>D — Immediately think about the team — who's needed, what roles</t>
  </si>
  <si>
    <t>Interpersonal</t>
  </si>
  <si>
    <t>E — Ask whether this idea actually solves a real human problem</t>
  </si>
  <si>
    <t>MI + SDT</t>
  </si>
  <si>
    <t>Intrapersonal + Competence</t>
  </si>
  <si>
    <t>You're given free time and a small budget of ₹5,000. You most naturally…</t>
  </si>
  <si>
    <t>A — Start a small resale or service business to turn a profit</t>
  </si>
  <si>
    <t>Enterprising (E)</t>
  </si>
  <si>
    <t>B — Use it to attend a skill workshop or online course</t>
  </si>
  <si>
    <t>Investigative + Competence</t>
  </si>
  <si>
    <t>C — Organise a community event or help someone in need</t>
  </si>
  <si>
    <t>Social (S)</t>
  </si>
  <si>
    <t>D — Spend it on art supplies, music gear, or creative tools</t>
  </si>
  <si>
    <t>Your professor gives a completely unconventional assignment — no rules, just 'submit something meaningful'. You feel…</t>
  </si>
  <si>
    <t>A — Excited. This is when I do my best work</t>
  </si>
  <si>
    <t>Openness (High)</t>
  </si>
  <si>
    <t>B — Curious but a little anxious — you'll work through it</t>
  </si>
  <si>
    <t>Openness (Mid-High)</t>
  </si>
  <si>
    <t>C — Frustrated. You prefer clear guidelines and rubrics</t>
  </si>
  <si>
    <t>Openness (Low)</t>
  </si>
  <si>
    <t>D — Indifferent. You'll just do the minimum needed to pass</t>
  </si>
  <si>
    <t>Low engagement</t>
  </si>
  <si>
    <t>When someone asks you 'what do you want to do after graduation?', you typically…</t>
  </si>
  <si>
    <t>A — Have a clear, specific answer with a plan already in motion</t>
  </si>
  <si>
    <t>CDM</t>
  </si>
  <si>
    <t>Crystallization stage</t>
  </si>
  <si>
    <t>B — Have a few options you're seriously considering but haven't decided</t>
  </si>
  <si>
    <t>Exploration stage</t>
  </si>
  <si>
    <t>C — Give a vague answer because you genuinely haven't thought deeply about it</t>
  </si>
  <si>
    <t>Pre-contemplation</t>
  </si>
  <si>
    <t>D — Get anxious — you worry you're behind everyone else</t>
  </si>
  <si>
    <t>Decision paralysis</t>
  </si>
  <si>
    <t>You have to explain a complex topic to your class. You instinctively create…</t>
  </si>
  <si>
    <t>A — A visual diagram, infographic, or sketch</t>
  </si>
  <si>
    <t>Spatial Intelligence</t>
  </si>
  <si>
    <t>B — A well-structured written explanation with examples</t>
  </si>
  <si>
    <t>Linguistic Intelligence</t>
  </si>
  <si>
    <t>C — A live demonstration or hands-on activity</t>
  </si>
  <si>
    <t>Bodily-Kinesthetic</t>
  </si>
  <si>
    <t>D — A story or analogy that makes it relatable</t>
  </si>
  <si>
    <t>Linguistic + Interpersonal</t>
  </si>
  <si>
    <t>E — A spreadsheet or data breakdown</t>
  </si>
  <si>
    <t>Your ideal study or work environment is…</t>
  </si>
  <si>
    <t>A — A busy café or co-working space with ambient noise</t>
  </si>
  <si>
    <t>Extraversion (High)</t>
  </si>
  <si>
    <t>B — A quiet room, alone, with no distractions</t>
  </si>
  <si>
    <t>Extraversion (Low) / Introversion</t>
  </si>
  <si>
    <t>C — A small group of 2-3 people you trust</t>
  </si>
  <si>
    <t>Ambiversion</t>
  </si>
  <si>
    <t>D — Wherever the deadline pressure pushes you</t>
  </si>
  <si>
    <t>Low self-regulation</t>
  </si>
  <si>
    <t>Which of these statements feels most true for you right now?</t>
  </si>
  <si>
    <t>A — I know exactly what I'm good at and I build on those strengths</t>
  </si>
  <si>
    <t>Competence (High)</t>
  </si>
  <si>
    <t>B — I'm still figuring out where my strengths really lie</t>
  </si>
  <si>
    <t>Competence (Developing)</t>
  </si>
  <si>
    <t>C — I feel like others are more capable than me in most areas</t>
  </si>
  <si>
    <t>Competence (Low)</t>
  </si>
  <si>
    <t>D — I'm good at many things but nothing stands out</t>
  </si>
  <si>
    <t>Competence (Diffuse)</t>
  </si>
  <si>
    <t>You're watching a documentary. You're most drawn to content about…</t>
  </si>
  <si>
    <t>A — How diseases spread and how the body fights back</t>
  </si>
  <si>
    <t>Investigative + Naturalistic</t>
  </si>
  <si>
    <t>B — How a startup went from zero to billion-dollar company</t>
  </si>
  <si>
    <t>C — How ancient civilisations built structures we still can't replicate</t>
  </si>
  <si>
    <t>Investigative + Spatial</t>
  </si>
  <si>
    <t>D — How a director creates emotional impact through filmmaking</t>
  </si>
  <si>
    <t>Artistic + Spatial/Linguistic</t>
  </si>
  <si>
    <t>E — How policy changes affect millions of people across a country</t>
  </si>
  <si>
    <t>A teammate is consistently not pulling their weight on a group project. You…</t>
  </si>
  <si>
    <t>A — Confront them directly and clearly explain the impact on the team</t>
  </si>
  <si>
    <t>Agreeableness (Low-Mid) + Assertive</t>
  </si>
  <si>
    <t>B — Take on their work to avoid conflict and keep the project on track</t>
  </si>
  <si>
    <t>Agreeableness (High) + Avoidant</t>
  </si>
  <si>
    <t>C — Talk to them privately, try to understand what's going wrong</t>
  </si>
  <si>
    <t>Agreeableness + Relatedness</t>
  </si>
  <si>
    <t>D — Report it to the professor or group leader</t>
  </si>
  <si>
    <t>Rule-following / Conventional</t>
  </si>
  <si>
    <t>When learning something new, you absorb it best when you…</t>
  </si>
  <si>
    <t>A — Actually do it — build it, perform it, make it with your hands</t>
  </si>
  <si>
    <t>B — Read about it deeply and take detailed notes</t>
  </si>
  <si>
    <t>Linguistic + Logical</t>
  </si>
  <si>
    <t>C — Watch a video or observe someone doing it first</t>
  </si>
  <si>
    <t>Spatial + Visual</t>
  </si>
  <si>
    <t>D — Discuss it with someone else to test your understanding</t>
  </si>
  <si>
    <t>E — Map it out in a diagram or framework before diving in</t>
  </si>
  <si>
    <t>Logical-Mathematical + Spatial</t>
  </si>
  <si>
    <t>A random conversation at a family event gives you an unexpected opportunity in a field you'd never considered. You…</t>
  </si>
  <si>
    <t>A — Get excited and follow up on it immediately</t>
  </si>
  <si>
    <t>Happenstance readiness (High)</t>
  </si>
  <si>
    <t>B — Think about it seriously before making any move</t>
  </si>
  <si>
    <t>Deliberate exploration</t>
  </si>
  <si>
    <t>C — Dismiss it — it doesn't fit your current plan</t>
  </si>
  <si>
    <t>Closed to happenstance</t>
  </si>
  <si>
    <t>D — Mention it to family to see if they approve first</t>
  </si>
  <si>
    <t>CDM + SDT</t>
  </si>
  <si>
    <t>External locus + low autonomy</t>
  </si>
  <si>
    <t>You're at your most energised and 'in flow' when you are…</t>
  </si>
  <si>
    <t>A — Teaching, mentoring, or explaining something to someone</t>
  </si>
  <si>
    <t>Social + Interpersonal</t>
  </si>
  <si>
    <t>B — Solving a puzzle, debugging a problem, or figuring out how something works</t>
  </si>
  <si>
    <t>Investigative + Logical</t>
  </si>
  <si>
    <t>C — Creating something — writing, designing, composing</t>
  </si>
  <si>
    <t>D — Persuading people or negotiating a deal</t>
  </si>
  <si>
    <t>E — Executing a process efficiently and getting things done correctly</t>
  </si>
  <si>
    <t>Before a high-stakes presentation or performance, you typically feel…</t>
  </si>
  <si>
    <t>A — Calm and prepared — pressure is just part of the process</t>
  </si>
  <si>
    <t>Low Neuroticism / High Stability</t>
  </si>
  <si>
    <t>B — Nervous but it pushes you to perform better</t>
  </si>
  <si>
    <t>Mid Neuroticism (adaptive)</t>
  </si>
  <si>
    <t>C — Extremely anxious — it significantly affects your performance</t>
  </si>
  <si>
    <t>High Neuroticism</t>
  </si>
  <si>
    <t>D — Indifferent — you don't overthink these things</t>
  </si>
  <si>
    <t>Low investment</t>
  </si>
  <si>
    <t>Which of these describes why you want to be successful in your chosen career?</t>
  </si>
  <si>
    <t>A — I want to become genuinely good at something that matters to me</t>
  </si>
  <si>
    <t>Intrinsic — Mastery</t>
  </si>
  <si>
    <t>B — I want financial security and a stable, respected life</t>
  </si>
  <si>
    <t>Extrinsic — Status/Security</t>
  </si>
  <si>
    <t>C — I want my family to be proud of what I've achieved</t>
  </si>
  <si>
    <t>Extrinsic — Social approval</t>
  </si>
  <si>
    <t>D — I want to solve a real problem or contribute to something bigger</t>
  </si>
  <si>
    <t>Intrinsic — Purpose</t>
  </si>
  <si>
    <t>Which of these tasks would you actually enjoy doing as part of your regular work?</t>
  </si>
  <si>
    <t>A — Analysing large datasets to find patterns or insights</t>
  </si>
  <si>
    <t>Investigative + Logical-Math</t>
  </si>
  <si>
    <t>B — Managing and coordinating a team's workflow and timelines</t>
  </si>
  <si>
    <t>Enterprising + Conventional</t>
  </si>
  <si>
    <t>C — Designing visuals, user interfaces, or creative content</t>
  </si>
  <si>
    <t>Artistic + Spatial</t>
  </si>
  <si>
    <t>D — Conducting lab work, experiments, or technical analysis</t>
  </si>
  <si>
    <t>Realistic + Investigative</t>
  </si>
  <si>
    <t>E — Writing reports, policies, documentation, or proposals</t>
  </si>
  <si>
    <t>Conventional + Linguistic</t>
  </si>
  <si>
    <t>When researching a major life decision (college, career, city to move to), you…</t>
  </si>
  <si>
    <t>A — Go deep — read everything, talk to people in that field, build a spreadsheet</t>
  </si>
  <si>
    <t>Systematic decision-making</t>
  </si>
  <si>
    <t>B — Do a quick search, trust your gut, and move on</t>
  </si>
  <si>
    <t>Intuitive decision-making</t>
  </si>
  <si>
    <t>C — Ask people you trust and mostly go with their advice</t>
  </si>
  <si>
    <t>Dependent decision-making</t>
  </si>
  <si>
    <t>D — Delay until the deadline forces a decision</t>
  </si>
  <si>
    <t>Avoidant decision-making</t>
  </si>
  <si>
    <t>Which of these elective subjects would you have genuinely loved in school?</t>
  </si>
  <si>
    <t>A — Music theory and composition</t>
  </si>
  <si>
    <t>Musical Intelligence</t>
  </si>
  <si>
    <t>B — Environmental science and ecology</t>
  </si>
  <si>
    <t>Naturalistic Intelligence</t>
  </si>
  <si>
    <t>C — Physical education, sports science, or dance</t>
  </si>
  <si>
    <t>D — Computer science and programming</t>
  </si>
  <si>
    <t>MI + Holland</t>
  </si>
  <si>
    <t>Logical-Math + Investigative</t>
  </si>
  <si>
    <t>E — Psychology and human behaviour</t>
  </si>
  <si>
    <t>Interpersonal + Social</t>
  </si>
  <si>
    <t>You have a business idea you genuinely believe in. The only way to test it is to spend ₹20,000 of your savings. You…</t>
  </si>
  <si>
    <t>A — Do it immediately — the only way to know is to try</t>
  </si>
  <si>
    <t>Holland + Big Five</t>
  </si>
  <si>
    <t>Enterprising + Openness</t>
  </si>
  <si>
    <t>B — Build a scaled-down version to test first with minimal investment</t>
  </si>
  <si>
    <t>Holland + CDM</t>
  </si>
  <si>
    <t>Enterprising + Systematic</t>
  </si>
  <si>
    <t>C — Wait until you have more certainty before spending money</t>
  </si>
  <si>
    <t>High Conscientiousness / Risk-averse</t>
  </si>
  <si>
    <t>D — Look for a co-founder to share the financial risk</t>
  </si>
  <si>
    <t>SDT + Holland</t>
  </si>
  <si>
    <t>Relatedness + Enterprising</t>
  </si>
  <si>
    <t>Your parents strongly prefer you pursue a specific career. You want something different. You…</t>
  </si>
  <si>
    <t>A — Follow your own path and explain your reasoning to them over time</t>
  </si>
  <si>
    <t>Autonomy (High)</t>
  </si>
  <si>
    <t>B — Try to find a middle ground that satisfies both sides</t>
  </si>
  <si>
    <t>Autonomy (Mid)</t>
  </si>
  <si>
    <t>C — Agree to their preference to avoid conflict, even if unhappy</t>
  </si>
  <si>
    <t>Autonomy (Low) / Controlled motivation</t>
  </si>
  <si>
    <t>D — Delay the decision and hope the situation resolves itself</t>
  </si>
  <si>
    <t>Low autonomy + avoidant</t>
  </si>
  <si>
    <t>You're asked to rate yourself honestly. Which statement is most accurate?</t>
  </si>
  <si>
    <t>A — I understand my strengths, weaknesses, values, and motivations clearly</t>
  </si>
  <si>
    <t>MI + CDM</t>
  </si>
  <si>
    <t>Intrapersonal + Self-awareness</t>
  </si>
  <si>
    <t>B — I know some things about myself but a lot is still unclear</t>
  </si>
  <si>
    <t>Developing self-awareness</t>
  </si>
  <si>
    <t>C — I find it difficult to reflect on myself — I just go with the flow</t>
  </si>
  <si>
    <t>Low intrapersonal</t>
  </si>
  <si>
    <t>D — I understand myself but I often doubt what I know</t>
  </si>
  <si>
    <t>Intrapersonal + Neuroticism</t>
  </si>
  <si>
    <t>On a group project, which role do you naturally drift into?</t>
  </si>
  <si>
    <t>A — The one who motivates the group and keeps morale high</t>
  </si>
  <si>
    <t>B — The one who structures the plan and assigns tasks</t>
  </si>
  <si>
    <t>C — The one who generates the most ideas and challenges assumptions</t>
  </si>
  <si>
    <t>D — The one who executes and gets the actual work done</t>
  </si>
  <si>
    <t>E — The one who researches and makes sure decisions are evidence-based</t>
  </si>
  <si>
    <t>Investigative (I)</t>
  </si>
  <si>
    <t>10 years from now, the version of you that feels most fulfilled is someone who…</t>
  </si>
  <si>
    <t>A — Has built something — a company, product, or system others depend on</t>
  </si>
  <si>
    <t>Enterprising + Intrinsic Purpose</t>
  </si>
  <si>
    <t>B — Is recognised as an expert or leader in their field</t>
  </si>
  <si>
    <t>Investigative + Mastery</t>
  </si>
  <si>
    <t>C — Has made a visible, tangible difference in people's lives</t>
  </si>
  <si>
    <t>Social + Intrinsic Purpose</t>
  </si>
  <si>
    <t>D — Has creative work in the world that reflects who they are</t>
  </si>
  <si>
    <t>Artistic + Intrinsic</t>
  </si>
  <si>
    <t>E — Has financial freedom, stability, and professional respect</t>
  </si>
  <si>
    <t>Extrinsic — Security/Status</t>
  </si>
  <si>
    <t>LOCUS — STUDENT RESPONSE SHEET &amp; COMPOSITE CAREER FIT CALCULATOR</t>
  </si>
  <si>
    <t>INSTRUCTIONS: For each question, paste or type the scores from the Q&amp;A Engine sheet for the option the student selected.</t>
  </si>
  <si>
    <t>Student Selected Answer (paste option text)</t>
  </si>
  <si>
    <t>Holland (H)</t>
  </si>
  <si>
    <t>OCEAN (O)</t>
  </si>
  <si>
    <t>SDT (S)</t>
  </si>
  <si>
    <t>MI (M)</t>
  </si>
  <si>
    <t>CDM (D)</t>
  </si>
  <si>
    <t>[Paste student's answer here]</t>
  </si>
  <si>
    <t>TOTAL</t>
  </si>
  <si>
    <t>Raw Score (max 125 per theory)</t>
  </si>
  <si>
    <t>SCORE %</t>
  </si>
  <si>
    <t>Normalised 0–100 per theory (÷125 × 100)</t>
  </si>
  <si>
    <t>COMPOSITE CAREER FIT SCORE (CCFS) — THE MASTER FORMULA</t>
  </si>
  <si>
    <t>CCFS Formula:</t>
  </si>
  <si>
    <t>CCFS Result:</t>
  </si>
  <si>
    <t>WEIGHTS: Holland 25%  |  OCEAN 20%  |  SDT 25%  |  MI 20%  |  CDM 10%</t>
  </si>
  <si>
    <t>Motivation Quality Override: If SDT score &lt; 50, apply 0.85× multiplier to CCFS (extrinsic motivation risk flag)</t>
  </si>
  <si>
    <t>Adjusted CCFS (with SDT flag):</t>
  </si>
  <si>
    <t>LOCUS — 127 CAREER PATH MATCHING ENGINE</t>
  </si>
  <si>
    <t>Each career has a SUCCESS PROFILE (expected scores). Delta = |Student Score − Success Profile|. Lower delta = better fit.</t>
  </si>
  <si>
    <t>#</t>
  </si>
  <si>
    <t>Career Path</t>
  </si>
  <si>
    <t>Domain</t>
  </si>
  <si>
    <t>H✓</t>
  </si>
  <si>
    <t>O✓</t>
  </si>
  <si>
    <t>S✓</t>
  </si>
  <si>
    <t>M✓</t>
  </si>
  <si>
    <t>D✓</t>
  </si>
  <si>
    <t>Δ Holland</t>
  </si>
  <si>
    <t>Δ OCEAN</t>
  </si>
  <si>
    <t>Δ SDT</t>
  </si>
  <si>
    <t>Δ MI</t>
  </si>
  <si>
    <t>Fit Score (100)</t>
  </si>
  <si>
    <t>Status</t>
  </si>
  <si>
    <t>Medical Doctor (MBBS→MD)</t>
  </si>
  <si>
    <t>Medicine</t>
  </si>
  <si>
    <t>Surgeon</t>
  </si>
  <si>
    <t>Dentist</t>
  </si>
  <si>
    <t>Pharmacist</t>
  </si>
  <si>
    <t>Biomedical Researcher</t>
  </si>
  <si>
    <t>Research</t>
  </si>
  <si>
    <t>Geneticist</t>
  </si>
  <si>
    <t>Microbiologist</t>
  </si>
  <si>
    <t>Biochemist</t>
  </si>
  <si>
    <t>Neuroscientist</t>
  </si>
  <si>
    <t>Clinical Psychologist</t>
  </si>
  <si>
    <t>Psychology</t>
  </si>
  <si>
    <t>Psychiatrist</t>
  </si>
  <si>
    <t>Physiotherapist</t>
  </si>
  <si>
    <t>Occupational Therapist</t>
  </si>
  <si>
    <t>Nutritionist/Dietitian</t>
  </si>
  <si>
    <t>Veterinarian</t>
  </si>
  <si>
    <t>Environmental Scientist</t>
  </si>
  <si>
    <t>Science</t>
  </si>
  <si>
    <t>Marine Biologist</t>
  </si>
  <si>
    <t>Astronomer/Astrophysicist</t>
  </si>
  <si>
    <t>Nuclear Engineer</t>
  </si>
  <si>
    <t>Engineering</t>
  </si>
  <si>
    <t>Aerospace Engineer</t>
  </si>
  <si>
    <t>Mechanical Engineer</t>
  </si>
  <si>
    <t>Civil Engineer</t>
  </si>
  <si>
    <t>Chemical Engineer</t>
  </si>
  <si>
    <t>Electrical Engineer</t>
  </si>
  <si>
    <t>Electronics Engineer</t>
  </si>
  <si>
    <t>Computer Science Engineer</t>
  </si>
  <si>
    <t>Technology</t>
  </si>
  <si>
    <t>Software Developer</t>
  </si>
  <si>
    <t>Data Scientist</t>
  </si>
  <si>
    <t>AI/ML Engineer</t>
  </si>
  <si>
    <t>Cybersecurity Analyst</t>
  </si>
  <si>
    <t>Cloud Solutions Architect</t>
  </si>
  <si>
    <t>DevOps Engineer</t>
  </si>
  <si>
    <t>UX/UI Designer</t>
  </si>
  <si>
    <t>Design</t>
  </si>
  <si>
    <t>Product Manager</t>
  </si>
  <si>
    <t>Business</t>
  </si>
  <si>
    <t>Business Analyst</t>
  </si>
  <si>
    <t>Actuary</t>
  </si>
  <si>
    <t>Finance</t>
  </si>
  <si>
    <t>Chartered Accountant</t>
  </si>
  <si>
    <t>Investment Banker</t>
  </si>
  <si>
    <t>Equity Research Analyst</t>
  </si>
  <si>
    <t>Financial Planner</t>
  </si>
  <si>
    <t>Venture Capitalist</t>
  </si>
  <si>
    <t>Entrepreneur/Startup Founder</t>
  </si>
  <si>
    <t>Management Consultant</t>
  </si>
  <si>
    <t>Operations Manager</t>
  </si>
  <si>
    <t>Supply Chain Manager</t>
  </si>
  <si>
    <t>Human Resources Manager</t>
  </si>
  <si>
    <t>Marketing Manager</t>
  </si>
  <si>
    <t>Brand Strategist</t>
  </si>
  <si>
    <t>Digital Marketing Specialist</t>
  </si>
  <si>
    <t>Sales Manager</t>
  </si>
  <si>
    <t>Retail Manager</t>
  </si>
  <si>
    <t>Lawyer/Advocate</t>
  </si>
  <si>
    <t>Law</t>
  </si>
  <si>
    <t>Judge</t>
  </si>
  <si>
    <t>Corporate Lawyer</t>
  </si>
  <si>
    <t>Criminal Lawyer</t>
  </si>
  <si>
    <t>Human Rights Lawyer</t>
  </si>
  <si>
    <t>IAS / IPS Officer</t>
  </si>
  <si>
    <t>Civil Services</t>
  </si>
  <si>
    <t>Diplomat/IFS Officer</t>
  </si>
  <si>
    <t>Policy Analyst</t>
  </si>
  <si>
    <t>Government</t>
  </si>
  <si>
    <t>Urban Planner</t>
  </si>
  <si>
    <t>Military Officer</t>
  </si>
  <si>
    <t>Defence</t>
  </si>
  <si>
    <t>Police Officer</t>
  </si>
  <si>
    <t>School Teacher</t>
  </si>
  <si>
    <t>Education</t>
  </si>
  <si>
    <t>Professor/Academic</t>
  </si>
  <si>
    <t>Education Technology Designer</t>
  </si>
  <si>
    <t>Special Educator</t>
  </si>
  <si>
    <t>Social Worker</t>
  </si>
  <si>
    <t>Social</t>
  </si>
  <si>
    <t>NGO Programme Manager</t>
  </si>
  <si>
    <t>Community Development Officer</t>
  </si>
  <si>
    <t>Counselor/Therapist</t>
  </si>
  <si>
    <t>Life Coach</t>
  </si>
  <si>
    <t>Graphic Designer</t>
  </si>
  <si>
    <t>Creative</t>
  </si>
  <si>
    <t>Animator</t>
  </si>
  <si>
    <t>Filmmaker/Director</t>
  </si>
  <si>
    <t>Screenwriter</t>
  </si>
  <si>
    <t>Journalist</t>
  </si>
  <si>
    <t>Media</t>
  </si>
  <si>
    <t>Content Creator/Influencer</t>
  </si>
  <si>
    <t>Photographer</t>
  </si>
  <si>
    <t>Fashion Designer</t>
  </si>
  <si>
    <t>Architect</t>
  </si>
  <si>
    <t>Interior Designer</t>
  </si>
  <si>
    <t>Industrial Designer</t>
  </si>
  <si>
    <t>Music Producer</t>
  </si>
  <si>
    <t>Musician/Performer</t>
  </si>
  <si>
    <t>Actor</t>
  </si>
  <si>
    <t>Dancer/Choreographer</t>
  </si>
  <si>
    <t>Author/Writer</t>
  </si>
  <si>
    <t>Poet</t>
  </si>
  <si>
    <t>Game Designer</t>
  </si>
  <si>
    <t>Professional Athlete</t>
  </si>
  <si>
    <t>Sports</t>
  </si>
  <si>
    <t>Sports Coach</t>
  </si>
  <si>
    <t>Sports Physiotherapist</t>
  </si>
  <si>
    <t>Sports Manager/Agent</t>
  </si>
  <si>
    <t>Fitness Trainer/Nutritionist</t>
  </si>
  <si>
    <t>Hotel Manager</t>
  </si>
  <si>
    <t>Hospitality</t>
  </si>
  <si>
    <t>Chef/Culinary Artist</t>
  </si>
  <si>
    <t>Event Manager</t>
  </si>
  <si>
    <t>Travel/Tourism Manager</t>
  </si>
  <si>
    <t>Climate/Sustainability Analyst</t>
  </si>
  <si>
    <t>Emerging</t>
  </si>
  <si>
    <t>Biotech Entrepreneur</t>
  </si>
  <si>
    <t>Health Tech Founder</t>
  </si>
  <si>
    <t>EdTech Founder</t>
  </si>
  <si>
    <t>FinTech Analyst</t>
  </si>
  <si>
    <t>Blockchain Developer</t>
  </si>
  <si>
    <t>Robotics Engineer</t>
  </si>
  <si>
    <t>Space Technology Engineer</t>
  </si>
  <si>
    <t>Nanotechnologist</t>
  </si>
  <si>
    <t>Forensic Scientist</t>
  </si>
  <si>
    <t>Epidemiologist</t>
  </si>
  <si>
    <t>Sports Scientist</t>
  </si>
  <si>
    <t>CA (Chartered Accountant)</t>
  </si>
  <si>
    <t>CS (Company Secretary)</t>
  </si>
  <si>
    <t>CMA (Cost Accountant)</t>
  </si>
  <si>
    <t>UPSC — Indian Forest Service</t>
  </si>
  <si>
    <t>State PSC Officer</t>
  </si>
  <si>
    <t>Bank PO</t>
  </si>
  <si>
    <t>Banking</t>
  </si>
  <si>
    <t>Insurance Analyst</t>
  </si>
  <si>
    <t>Agricultural Scientist</t>
  </si>
  <si>
    <t>Ayurveda Practitioner</t>
  </si>
  <si>
    <t>Homeopathy Practitioner</t>
  </si>
  <si>
    <t>Yoga Instructor</t>
  </si>
  <si>
    <t>Wellness</t>
  </si>
  <si>
    <t>Meditation/Wellness Coach</t>
  </si>
  <si>
    <t>Fashion Merchandiser</t>
  </si>
  <si>
    <t>Textile Designer</t>
  </si>
  <si>
    <t>Jewellery Designer</t>
  </si>
  <si>
    <t>Animation &amp; VFX Artist</t>
  </si>
  <si>
    <t>Radio Jockey / Podcast Host</t>
  </si>
  <si>
    <t>LOCUS — THRESHOLD LOGIC, CCFS FORMULA &amp; SUPABASE INTEGRATION SPEC</t>
  </si>
  <si>
    <t>STATUS THRESHOLDS</t>
  </si>
  <si>
    <t>Fit Score ≥ 72</t>
  </si>
  <si>
    <t>🟢 BEST FIT — Show in top tier, highlighted</t>
  </si>
  <si>
    <t>Green card, shown first</t>
  </si>
  <si>
    <t>Fit Score 52–71</t>
  </si>
  <si>
    <t>🟡 CONSIDER — Show faded below top 3</t>
  </si>
  <si>
    <t>Orange card, secondary</t>
  </si>
  <si>
    <t>Fit Score &lt; 52</t>
  </si>
  <si>
    <t>🔴 MISMATCH — Filtered out / not shown</t>
  </si>
  <si>
    <t>Hidden or greyed out</t>
  </si>
  <si>
    <t>CCFS FORMULA WEIGHTS</t>
  </si>
  <si>
    <t>Holland RIASEC</t>
  </si>
  <si>
    <t>25% weight</t>
  </si>
  <si>
    <t>Environment-person fit</t>
  </si>
  <si>
    <t>Big Five OCEAN</t>
  </si>
  <si>
    <t>20% weight</t>
  </si>
  <si>
    <t>Persistence probability</t>
  </si>
  <si>
    <t>SDT Motivation</t>
  </si>
  <si>
    <t>Intrinsic vs extrinsic flag</t>
  </si>
  <si>
    <t>Multiple Intelligence</t>
  </si>
  <si>
    <t>Cognitive task alignment</t>
  </si>
  <si>
    <t>Career Decision-Making</t>
  </si>
  <si>
    <t>10% weight</t>
  </si>
  <si>
    <t>Readiness stage factor</t>
  </si>
  <si>
    <t>SDT OVERRIDE RULE</t>
  </si>
  <si>
    <t>If SDT score &lt; 50</t>
  </si>
  <si>
    <t>Apply 0.85× multiplier to CCFS</t>
  </si>
  <si>
    <t>Risk flag: extrinsic motivation</t>
  </si>
  <si>
    <t>If SDT score &lt; 35</t>
  </si>
  <si>
    <t>Show warning in UI</t>
  </si>
  <si>
    <t>'Your motivation appears external — explore why'</t>
  </si>
  <si>
    <t>SUPABASE SCHEMA</t>
  </si>
  <si>
    <t>Table: quiz_responses</t>
  </si>
  <si>
    <t>student_id, question_id, option_selected, h_score, o_score, s_score, m_score, d_score, created_at</t>
  </si>
  <si>
    <t>One row per question per student</t>
  </si>
  <si>
    <t>Table: student_profiles</t>
  </si>
  <si>
    <t>student_id, holland_total, ocean_total, sdt_total, mi_total, cdm_total, ccfs, adjusted_ccfs, created_at</t>
  </si>
  <si>
    <t>Computed after all 25 Q answered</t>
  </si>
  <si>
    <t>Table: career_paths</t>
  </si>
  <si>
    <t>career_id, name, domain, h_profile, o_profile, s_profile, m_profile, d_profile</t>
  </si>
  <si>
    <t>Static reference table</t>
  </si>
  <si>
    <t>Table: career_matches</t>
  </si>
  <si>
    <t>student_id, career_id, fit_score, status, rank, created_at</t>
  </si>
  <si>
    <t>Computed on quiz completion</t>
  </si>
  <si>
    <t>SUPABASE EDGE FUNCTION</t>
  </si>
  <si>
    <t>Trigger:</t>
  </si>
  <si>
    <t>On INSERT to quiz_responses where question_id = 25</t>
  </si>
  <si>
    <t>Fires after final question</t>
  </si>
  <si>
    <t>Step 1:</t>
  </si>
  <si>
    <t>SELECT SUM scores grouped by student_id</t>
  </si>
  <si>
    <t>Aggregate all 25 answers</t>
  </si>
  <si>
    <t>Step 2:</t>
  </si>
  <si>
    <t>Normalise each theory score ÷ max × 100</t>
  </si>
  <si>
    <t>Get 0-100 per theory</t>
  </si>
  <si>
    <t>Step 3:</t>
  </si>
  <si>
    <t>CCFS = H×0.25 + O×0.20 + S×0.25 + MI×0.20 + D×0.10</t>
  </si>
  <si>
    <t>Weighted composite</t>
  </si>
  <si>
    <t>Step 4:</t>
  </si>
  <si>
    <t>IF SDT &lt; 50: adjusted_ccfs = ccfs × 0.85</t>
  </si>
  <si>
    <t>Apply override</t>
  </si>
  <si>
    <t>Step 5:</t>
  </si>
  <si>
    <t>For each career: fit_score = 100 − weighted delta from profile</t>
  </si>
  <si>
    <t>Match all 127 careers</t>
  </si>
  <si>
    <t>Step 6:</t>
  </si>
  <si>
    <t>INSERT into career_matches sorted by fit_score DESC</t>
  </si>
  <si>
    <t>Store results</t>
  </si>
  <si>
    <t>Step 7:</t>
  </si>
  <si>
    <t>Return top 3 (≥72), next tier (52-71) to frontend</t>
  </si>
  <si>
    <t>API response</t>
  </si>
  <si>
    <t>FRONTEND DISPLAY LOGIC</t>
  </si>
  <si>
    <t>Top 3 (BEST FIT)</t>
  </si>
  <si>
    <t>Full card, colour accent, rank 1–3 shown prominently</t>
  </si>
  <si>
    <t>Green border</t>
  </si>
  <si>
    <t>Next tier (CONSIDER)</t>
  </si>
  <si>
    <t>Faded card below fold, 60% opacity, swipeable</t>
  </si>
  <si>
    <t>Orange indicator</t>
  </si>
  <si>
    <t>MISMATCH</t>
  </si>
  <si>
    <t>Not shown unless student taps 'See all'</t>
  </si>
  <si>
    <t>Hidden by default</t>
  </si>
  <si>
    <t>API RESPONSE SHAPE</t>
  </si>
  <si>
    <t>JSON structure:</t>
  </si>
  <si>
    <t>{ student_id, ccfs, adjusted_ccfs, sdt_flag: bool,</t>
  </si>
  <si>
    <t xml:space="preserve">  top_matches: [{career_id, name, domain, fit_score, status, rank}],</t>
  </si>
  <si>
    <t xml:space="preserve">  secondary_matches: [...], motivation_note: string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</si>
</sst>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\%"/>
  </numFmts>
  <fonts count="25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9.0"/>
      <color rgb="FF1A1A2E"/>
      <name val="Arial"/>
    </font>
    <font>
      <b/>
      <sz val="10.0"/>
      <color rgb="FFFFFFFF"/>
      <name val="Arial"/>
    </font>
    <font>
      <b/>
      <sz val="11.0"/>
      <color rgb="FFE23744"/>
      <name val="Arial"/>
    </font>
    <font>
      <sz val="9.0"/>
      <color rgb="FF1A1A2E"/>
      <name val="Arial"/>
    </font>
    <font>
      <b/>
      <sz val="11.0"/>
      <color rgb="FF27AE60"/>
      <name val="Arial"/>
    </font>
    <font>
      <b/>
      <sz val="11.0"/>
      <color rgb="FF1A1A2E"/>
      <name val="Arial"/>
    </font>
    <font>
      <i/>
      <sz val="8.0"/>
      <color rgb="FF1A1A2E"/>
      <name val="Arial"/>
    </font>
    <font>
      <sz val="8.0"/>
      <color rgb="FF1A1A2E"/>
      <name val="Arial"/>
    </font>
    <font>
      <b/>
      <sz val="11.0"/>
      <color rgb="FFE67E22"/>
      <name val="Arial"/>
    </font>
    <font>
      <b/>
      <sz val="13.0"/>
      <color rgb="FFFFFFFF"/>
      <name val="Arial"/>
    </font>
    <font>
      <i/>
      <sz val="9.0"/>
      <color rgb="FF1A1A2E"/>
      <name val="Arial"/>
    </font>
    <font>
      <b/>
      <sz val="9.0"/>
      <color rgb="FFFFFFFF"/>
      <name val="Arial"/>
    </font>
    <font>
      <i/>
      <sz val="9.0"/>
      <color rgb="FFAAAAAA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2.0"/>
      <color rgb="FF1A1A2E"/>
      <name val="Arial"/>
    </font>
    <font>
      <b/>
      <sz val="10.0"/>
      <color rgb="FF1A1A2E"/>
      <name val="Arial"/>
    </font>
    <font>
      <b/>
      <sz val="16.0"/>
      <color rgb="FFFFFFFF"/>
      <name val="Arial"/>
    </font>
    <font>
      <i/>
      <sz val="9.0"/>
      <color rgb="FFC0392B"/>
      <name val="Arial"/>
    </font>
    <font>
      <b/>
      <sz val="10.0"/>
      <name val="Arial"/>
    </font>
    <font>
      <b/>
      <sz val="9.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BF5FB"/>
        <bgColor rgb="FFEBF5FB"/>
      </patternFill>
    </fill>
    <fill>
      <patternFill patternType="solid">
        <fgColor rgb="FF1A5276"/>
        <bgColor rgb="FF1A5276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FADBD8"/>
        <bgColor rgb="FFFADBD8"/>
      </patternFill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E23744"/>
        <bgColor rgb="FFE23744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BBBBBB"/>
      </left>
      <top style="medium">
        <color rgb="FFBBBBBB"/>
      </top>
      <bottom style="medium">
        <color rgb="FFBBBBBB"/>
      </bottom>
    </border>
    <border>
      <top style="medium">
        <color rgb="FFBBBBBB"/>
      </top>
      <bottom style="medium">
        <color rgb="FFBBBBBB"/>
      </bottom>
    </border>
    <border>
      <right/>
      <top style="medium">
        <color rgb="FFBBBBBB"/>
      </top>
      <bottom style="medium">
        <color rgb="FFBBBBBB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horizontal="center" shrinkToFit="0" vertical="center" wrapText="0"/>
    </xf>
    <xf borderId="4" fillId="6" fontId="9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left" shrinkToFit="0" vertical="center" wrapText="1"/>
    </xf>
    <xf borderId="4" fillId="8" fontId="12" numFmtId="0" xfId="0" applyAlignment="1" applyBorder="1" applyFill="1" applyFont="1">
      <alignment horizontal="center" shrinkToFit="0" vertical="center" wrapText="0"/>
    </xf>
    <xf borderId="4" fillId="9" fontId="12" numFmtId="0" xfId="0" applyAlignment="1" applyBorder="1" applyFill="1" applyFont="1">
      <alignment horizontal="center" shrinkToFit="0" vertical="center" wrapText="0"/>
    </xf>
    <xf borderId="4" fillId="10" fontId="8" numFmtId="0" xfId="0" applyAlignment="1" applyBorder="1" applyFill="1" applyFont="1">
      <alignment horizontal="center" shrinkToFit="0" vertical="center" wrapText="0"/>
    </xf>
    <xf borderId="4" fillId="11" fontId="12" numFmtId="0" xfId="0" applyAlignment="1" applyBorder="1" applyFill="1" applyFont="1">
      <alignment horizontal="center" shrinkToFit="0" vertical="center" wrapText="0"/>
    </xf>
    <xf borderId="4" fillId="10" fontId="12" numFmtId="0" xfId="0" applyAlignment="1" applyBorder="1" applyFont="1">
      <alignment horizontal="center" shrinkToFit="0" vertical="center" wrapText="0"/>
    </xf>
    <xf borderId="4" fillId="12" fontId="6" numFmtId="0" xfId="0" applyAlignment="1" applyBorder="1" applyFill="1" applyFont="1">
      <alignment horizontal="center" shrinkToFit="0" vertical="center" wrapText="0"/>
    </xf>
    <xf borderId="4" fillId="12" fontId="4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12" fontId="9" numFmtId="0" xfId="0" applyAlignment="1" applyBorder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11" fontId="8" numFmtId="0" xfId="0" applyAlignment="1" applyBorder="1" applyFont="1">
      <alignment horizontal="center" shrinkToFit="0" vertical="center" wrapText="0"/>
    </xf>
    <xf borderId="4" fillId="12" fontId="10" numFmtId="0" xfId="0" applyAlignment="1" applyBorder="1" applyFont="1">
      <alignment horizontal="center" shrinkToFit="0" vertical="center" wrapText="1"/>
    </xf>
    <xf borderId="4" fillId="12" fontId="11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center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4" fontId="14" numFmtId="0" xfId="0" applyAlignment="1" applyBorder="1" applyFont="1">
      <alignment horizontal="center" shrinkToFit="0" vertical="center" wrapText="0"/>
    </xf>
    <xf borderId="4" fillId="3" fontId="15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left" shrinkToFit="0" vertical="center" wrapText="0"/>
    </xf>
    <xf borderId="4" fillId="13" fontId="9" numFmtId="0" xfId="0" applyAlignment="1" applyBorder="1" applyFill="1" applyFont="1">
      <alignment horizontal="center" shrinkToFit="0" vertical="center" wrapText="0"/>
    </xf>
    <xf borderId="4" fillId="12" fontId="16" numFmtId="0" xfId="0" applyAlignment="1" applyBorder="1" applyFont="1">
      <alignment horizontal="left" shrinkToFit="0" vertical="center" wrapText="0"/>
    </xf>
    <xf borderId="4" fillId="2" fontId="17" numFmtId="0" xfId="0" applyAlignment="1" applyBorder="1" applyFont="1">
      <alignment horizontal="center" shrinkToFit="0" vertical="center" wrapText="0"/>
    </xf>
    <xf borderId="4" fillId="14" fontId="18" numFmtId="0" xfId="0" applyAlignment="1" applyBorder="1" applyFill="1" applyFont="1">
      <alignment horizontal="center" shrinkToFit="0" vertical="center" wrapText="0"/>
    </xf>
    <xf borderId="4" fillId="3" fontId="17" numFmtId="0" xfId="0" applyAlignment="1" applyBorder="1" applyFont="1">
      <alignment horizontal="center" shrinkToFit="0" vertical="center" wrapText="0"/>
    </xf>
    <xf borderId="4" fillId="3" fontId="15" numFmtId="0" xfId="0" applyAlignment="1" applyBorder="1" applyFont="1">
      <alignment horizontal="center" shrinkToFit="0" vertical="center" wrapText="0"/>
    </xf>
    <xf borderId="4" fillId="7" fontId="19" numFmtId="164" xfId="0" applyAlignment="1" applyBorder="1" applyFont="1" applyNumberForma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left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0" fillId="0" fontId="20" numFmtId="0" xfId="0" applyAlignment="1" applyFont="1">
      <alignment shrinkToFit="0" vertical="bottom" wrapText="0"/>
    </xf>
    <xf borderId="5" fillId="14" fontId="21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0" fillId="0" fontId="14" numFmtId="0" xfId="0" applyAlignment="1" applyFont="1">
      <alignment horizontal="center" shrinkToFit="0" vertical="center" wrapText="0"/>
    </xf>
    <xf borderId="0" fillId="0" fontId="22" numFmtId="0" xfId="0" applyAlignment="1" applyFon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left" shrinkToFit="0" vertical="center" wrapText="0"/>
    </xf>
    <xf borderId="4" fillId="6" fontId="11" numFmtId="0" xfId="0" applyAlignment="1" applyBorder="1" applyFont="1">
      <alignment horizontal="center" shrinkToFit="0" vertical="center" wrapText="0"/>
    </xf>
    <xf borderId="4" fillId="6" fontId="23" numFmtId="0" xfId="0" applyAlignment="1" applyBorder="1" applyFont="1">
      <alignment horizontal="center" shrinkToFit="0" vertical="center" wrapText="0"/>
    </xf>
    <xf borderId="4" fillId="6" fontId="24" numFmtId="0" xfId="0" applyAlignment="1" applyBorder="1" applyFont="1">
      <alignment horizontal="center" shrinkToFit="0" vertical="center" wrapText="0"/>
    </xf>
    <xf borderId="4" fillId="12" fontId="7" numFmtId="0" xfId="0" applyAlignment="1" applyBorder="1" applyFont="1">
      <alignment horizontal="center" shrinkToFit="0" vertical="center" wrapText="0"/>
    </xf>
    <xf borderId="4" fillId="12" fontId="4" numFmtId="0" xfId="0" applyAlignment="1" applyBorder="1" applyFont="1">
      <alignment horizontal="left" shrinkToFit="0" vertical="center" wrapText="0"/>
    </xf>
    <xf borderId="4" fillId="12" fontId="11" numFmtId="0" xfId="0" applyAlignment="1" applyBorder="1" applyFont="1">
      <alignment horizontal="center" shrinkToFit="0" vertical="center" wrapText="0"/>
    </xf>
    <xf borderId="4" fillId="12" fontId="23" numFmtId="0" xfId="0" applyAlignment="1" applyBorder="1" applyFont="1">
      <alignment horizontal="center" shrinkToFit="0" vertical="center" wrapText="0"/>
    </xf>
    <xf borderId="4" fillId="12" fontId="24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45.5"/>
    <col customWidth="1" min="3" max="3" width="36.75"/>
    <col customWidth="1" min="4" max="8" width="7.0"/>
    <col customWidth="1" min="9" max="9" width="14.0"/>
    <col customWidth="1" min="10" max="10" width="17.5"/>
    <col customWidth="1" min="11" max="11" width="7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18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3"/>
    </row>
    <row r="5" ht="19.5" customHeight="1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 t="s">
        <v>11</v>
      </c>
      <c r="J5" s="8" t="s">
        <v>12</v>
      </c>
    </row>
    <row r="6" ht="27.75" customHeight="1">
      <c r="A6" s="9">
        <v>1.0</v>
      </c>
      <c r="B6" s="10" t="s">
        <v>13</v>
      </c>
      <c r="C6" s="11" t="s">
        <v>14</v>
      </c>
      <c r="D6" s="12">
        <v>5.0</v>
      </c>
      <c r="E6" s="13">
        <v>1.0</v>
      </c>
      <c r="F6" s="13">
        <v>3.0</v>
      </c>
      <c r="G6" s="13">
        <v>2.0</v>
      </c>
      <c r="H6" s="13">
        <v>2.0</v>
      </c>
      <c r="I6" s="14" t="s">
        <v>15</v>
      </c>
      <c r="J6" s="15" t="s">
        <v>16</v>
      </c>
    </row>
    <row r="7" ht="21.75" customHeight="1">
      <c r="A7" s="9"/>
      <c r="B7" s="11"/>
      <c r="C7" s="11" t="s">
        <v>17</v>
      </c>
      <c r="D7" s="13">
        <v>2.0</v>
      </c>
      <c r="E7" s="16">
        <v>4.0</v>
      </c>
      <c r="F7" s="17">
        <v>4.0</v>
      </c>
      <c r="G7" s="13">
        <v>3.0</v>
      </c>
      <c r="H7" s="13">
        <v>3.0</v>
      </c>
      <c r="I7" s="14" t="s">
        <v>18</v>
      </c>
      <c r="J7" s="15" t="s">
        <v>19</v>
      </c>
    </row>
    <row r="8" ht="21.75" customHeight="1">
      <c r="A8" s="9"/>
      <c r="B8" s="11"/>
      <c r="C8" s="11" t="s">
        <v>20</v>
      </c>
      <c r="D8" s="13">
        <v>2.0</v>
      </c>
      <c r="E8" s="13">
        <v>3.0</v>
      </c>
      <c r="F8" s="17">
        <v>4.0</v>
      </c>
      <c r="G8" s="18">
        <v>5.0</v>
      </c>
      <c r="H8" s="19">
        <v>4.0</v>
      </c>
      <c r="I8" s="14" t="s">
        <v>21</v>
      </c>
      <c r="J8" s="15" t="s">
        <v>22</v>
      </c>
    </row>
    <row r="9" ht="21.75" customHeight="1">
      <c r="A9" s="9"/>
      <c r="B9" s="11"/>
      <c r="C9" s="11" t="s">
        <v>23</v>
      </c>
      <c r="D9" s="13">
        <v>3.0</v>
      </c>
      <c r="E9" s="13">
        <v>2.0</v>
      </c>
      <c r="F9" s="13">
        <v>3.0</v>
      </c>
      <c r="G9" s="20">
        <v>4.0</v>
      </c>
      <c r="H9" s="13">
        <v>3.0</v>
      </c>
      <c r="I9" s="14" t="s">
        <v>15</v>
      </c>
      <c r="J9" s="15" t="s">
        <v>24</v>
      </c>
    </row>
    <row r="10" ht="21.75" customHeight="1">
      <c r="A10" s="9"/>
      <c r="B10" s="11"/>
      <c r="C10" s="11" t="s">
        <v>25</v>
      </c>
      <c r="D10" s="13">
        <v>2.0</v>
      </c>
      <c r="E10" s="16">
        <v>4.0</v>
      </c>
      <c r="F10" s="13">
        <v>2.0</v>
      </c>
      <c r="G10" s="13">
        <v>2.0</v>
      </c>
      <c r="H10" s="19">
        <v>4.0</v>
      </c>
      <c r="I10" s="14" t="s">
        <v>15</v>
      </c>
      <c r="J10" s="15" t="s">
        <v>26</v>
      </c>
    </row>
    <row r="11" ht="27.75" customHeight="1">
      <c r="A11" s="21">
        <v>2.0</v>
      </c>
      <c r="B11" s="22" t="s">
        <v>27</v>
      </c>
      <c r="C11" s="23" t="s">
        <v>28</v>
      </c>
      <c r="D11" s="24">
        <v>2.0</v>
      </c>
      <c r="E11" s="25">
        <v>5.0</v>
      </c>
      <c r="F11" s="24">
        <v>2.0</v>
      </c>
      <c r="G11" s="24">
        <v>2.0</v>
      </c>
      <c r="H11" s="26">
        <v>5.0</v>
      </c>
      <c r="I11" s="27" t="s">
        <v>29</v>
      </c>
      <c r="J11" s="28" t="s">
        <v>30</v>
      </c>
    </row>
    <row r="12" ht="21.75" customHeight="1">
      <c r="A12" s="21"/>
      <c r="B12" s="23"/>
      <c r="C12" s="23" t="s">
        <v>31</v>
      </c>
      <c r="D12" s="24">
        <v>3.0</v>
      </c>
      <c r="E12" s="24">
        <v>3.0</v>
      </c>
      <c r="F12" s="24">
        <v>3.0</v>
      </c>
      <c r="G12" s="24">
        <v>3.0</v>
      </c>
      <c r="H12" s="24">
        <v>3.0</v>
      </c>
      <c r="I12" s="27" t="s">
        <v>29</v>
      </c>
      <c r="J12" s="28" t="s">
        <v>32</v>
      </c>
    </row>
    <row r="13" ht="21.75" customHeight="1">
      <c r="A13" s="21"/>
      <c r="B13" s="23"/>
      <c r="C13" s="23" t="s">
        <v>33</v>
      </c>
      <c r="D13" s="29">
        <v>4.0</v>
      </c>
      <c r="E13" s="24">
        <v>1.0</v>
      </c>
      <c r="F13" s="24">
        <v>2.0</v>
      </c>
      <c r="G13" s="24">
        <v>3.0</v>
      </c>
      <c r="H13" s="24">
        <v>1.0</v>
      </c>
      <c r="I13" s="27" t="s">
        <v>29</v>
      </c>
      <c r="J13" s="28" t="s">
        <v>34</v>
      </c>
    </row>
    <row r="14" ht="21.75" customHeight="1">
      <c r="A14" s="21"/>
      <c r="B14" s="23"/>
      <c r="C14" s="23" t="s">
        <v>35</v>
      </c>
      <c r="D14" s="24">
        <v>3.0</v>
      </c>
      <c r="E14" s="16">
        <v>4.0</v>
      </c>
      <c r="F14" s="17">
        <v>4.0</v>
      </c>
      <c r="G14" s="24">
        <v>3.0</v>
      </c>
      <c r="H14" s="19">
        <v>4.0</v>
      </c>
      <c r="I14" s="27" t="s">
        <v>36</v>
      </c>
      <c r="J14" s="28" t="s">
        <v>37</v>
      </c>
    </row>
    <row r="15" ht="27.75" customHeight="1">
      <c r="A15" s="9">
        <v>3.0</v>
      </c>
      <c r="B15" s="10" t="s">
        <v>38</v>
      </c>
      <c r="C15" s="11" t="s">
        <v>39</v>
      </c>
      <c r="D15" s="13">
        <v>2.0</v>
      </c>
      <c r="E15" s="13">
        <v>3.0</v>
      </c>
      <c r="F15" s="13">
        <v>1.0</v>
      </c>
      <c r="G15" s="13">
        <v>2.0</v>
      </c>
      <c r="H15" s="13">
        <v>3.0</v>
      </c>
      <c r="I15" s="14" t="s">
        <v>40</v>
      </c>
      <c r="J15" s="15" t="s">
        <v>41</v>
      </c>
    </row>
    <row r="16" ht="21.75" customHeight="1">
      <c r="A16" s="9"/>
      <c r="B16" s="11"/>
      <c r="C16" s="11" t="s">
        <v>42</v>
      </c>
      <c r="D16" s="29">
        <v>4.0</v>
      </c>
      <c r="E16" s="13">
        <v>3.0</v>
      </c>
      <c r="F16" s="30">
        <v>5.0</v>
      </c>
      <c r="G16" s="20">
        <v>4.0</v>
      </c>
      <c r="H16" s="19">
        <v>4.0</v>
      </c>
      <c r="I16" s="14" t="s">
        <v>40</v>
      </c>
      <c r="J16" s="15" t="s">
        <v>43</v>
      </c>
    </row>
    <row r="17" ht="21.75" customHeight="1">
      <c r="A17" s="9"/>
      <c r="B17" s="11"/>
      <c r="C17" s="11" t="s">
        <v>44</v>
      </c>
      <c r="D17" s="13">
        <v>3.0</v>
      </c>
      <c r="E17" s="16">
        <v>4.0</v>
      </c>
      <c r="F17" s="17">
        <v>4.0</v>
      </c>
      <c r="G17" s="13">
        <v>3.0</v>
      </c>
      <c r="H17" s="26">
        <v>5.0</v>
      </c>
      <c r="I17" s="14" t="s">
        <v>45</v>
      </c>
      <c r="J17" s="15" t="s">
        <v>46</v>
      </c>
    </row>
    <row r="18" ht="21.75" customHeight="1">
      <c r="A18" s="9"/>
      <c r="B18" s="11"/>
      <c r="C18" s="11" t="s">
        <v>47</v>
      </c>
      <c r="D18" s="13">
        <v>2.0</v>
      </c>
      <c r="E18" s="13">
        <v>2.0</v>
      </c>
      <c r="F18" s="13">
        <v>2.0</v>
      </c>
      <c r="G18" s="13">
        <v>2.0</v>
      </c>
      <c r="H18" s="13">
        <v>2.0</v>
      </c>
      <c r="I18" s="14" t="s">
        <v>40</v>
      </c>
      <c r="J18" s="15" t="s">
        <v>48</v>
      </c>
    </row>
    <row r="19" ht="27.75" customHeight="1">
      <c r="A19" s="21">
        <v>4.0</v>
      </c>
      <c r="B19" s="22" t="s">
        <v>49</v>
      </c>
      <c r="C19" s="23" t="s">
        <v>50</v>
      </c>
      <c r="D19" s="24">
        <v>2.0</v>
      </c>
      <c r="E19" s="25">
        <v>5.0</v>
      </c>
      <c r="F19" s="24">
        <v>3.0</v>
      </c>
      <c r="G19" s="24">
        <v>1.0</v>
      </c>
      <c r="H19" s="19">
        <v>4.0</v>
      </c>
      <c r="I19" s="27" t="s">
        <v>51</v>
      </c>
      <c r="J19" s="28" t="s">
        <v>52</v>
      </c>
    </row>
    <row r="20" ht="21.75" customHeight="1">
      <c r="A20" s="21"/>
      <c r="B20" s="23"/>
      <c r="C20" s="23" t="s">
        <v>53</v>
      </c>
      <c r="D20" s="24">
        <v>3.0</v>
      </c>
      <c r="E20" s="24">
        <v>2.0</v>
      </c>
      <c r="F20" s="24">
        <v>3.0</v>
      </c>
      <c r="G20" s="18">
        <v>5.0</v>
      </c>
      <c r="H20" s="24">
        <v>3.0</v>
      </c>
      <c r="I20" s="27" t="s">
        <v>51</v>
      </c>
      <c r="J20" s="28" t="s">
        <v>54</v>
      </c>
    </row>
    <row r="21" ht="21.75" customHeight="1">
      <c r="A21" s="21"/>
      <c r="B21" s="23"/>
      <c r="C21" s="23" t="s">
        <v>55</v>
      </c>
      <c r="D21" s="24">
        <v>3.0</v>
      </c>
      <c r="E21" s="24">
        <v>2.0</v>
      </c>
      <c r="F21" s="24">
        <v>3.0</v>
      </c>
      <c r="G21" s="20">
        <v>4.0</v>
      </c>
      <c r="H21" s="24">
        <v>3.0</v>
      </c>
      <c r="I21" s="27" t="s">
        <v>51</v>
      </c>
      <c r="J21" s="28" t="s">
        <v>56</v>
      </c>
    </row>
    <row r="22" ht="21.75" customHeight="1">
      <c r="A22" s="21"/>
      <c r="B22" s="23"/>
      <c r="C22" s="23" t="s">
        <v>57</v>
      </c>
      <c r="D22" s="24">
        <v>2.0</v>
      </c>
      <c r="E22" s="24">
        <v>3.0</v>
      </c>
      <c r="F22" s="17">
        <v>4.0</v>
      </c>
      <c r="G22" s="18">
        <v>5.0</v>
      </c>
      <c r="H22" s="24">
        <v>3.0</v>
      </c>
      <c r="I22" s="27" t="s">
        <v>51</v>
      </c>
      <c r="J22" s="28" t="s">
        <v>58</v>
      </c>
    </row>
    <row r="23" ht="21.75" customHeight="1">
      <c r="A23" s="21"/>
      <c r="B23" s="23"/>
      <c r="C23" s="23" t="s">
        <v>59</v>
      </c>
      <c r="D23" s="29">
        <v>4.0</v>
      </c>
      <c r="E23" s="24">
        <v>3.0</v>
      </c>
      <c r="F23" s="30">
        <v>5.0</v>
      </c>
      <c r="G23" s="24">
        <v>3.0</v>
      </c>
      <c r="H23" s="19">
        <v>4.0</v>
      </c>
      <c r="I23" s="27" t="s">
        <v>60</v>
      </c>
      <c r="J23" s="28" t="s">
        <v>61</v>
      </c>
    </row>
    <row r="24" ht="27.75" customHeight="1">
      <c r="A24" s="9">
        <v>5.0</v>
      </c>
      <c r="B24" s="10" t="s">
        <v>62</v>
      </c>
      <c r="C24" s="11" t="s">
        <v>63</v>
      </c>
      <c r="D24" s="12">
        <v>5.0</v>
      </c>
      <c r="E24" s="13">
        <v>3.0</v>
      </c>
      <c r="F24" s="17">
        <v>4.0</v>
      </c>
      <c r="G24" s="13">
        <v>3.0</v>
      </c>
      <c r="H24" s="19">
        <v>4.0</v>
      </c>
      <c r="I24" s="14" t="s">
        <v>15</v>
      </c>
      <c r="J24" s="15" t="s">
        <v>64</v>
      </c>
    </row>
    <row r="25" ht="21.75" customHeight="1">
      <c r="A25" s="9"/>
      <c r="B25" s="11"/>
      <c r="C25" s="11" t="s">
        <v>65</v>
      </c>
      <c r="D25" s="13">
        <v>3.0</v>
      </c>
      <c r="E25" s="16">
        <v>4.0</v>
      </c>
      <c r="F25" s="17">
        <v>4.0</v>
      </c>
      <c r="G25" s="13">
        <v>3.0</v>
      </c>
      <c r="H25" s="19">
        <v>4.0</v>
      </c>
      <c r="I25" s="14" t="s">
        <v>18</v>
      </c>
      <c r="J25" s="15" t="s">
        <v>66</v>
      </c>
    </row>
    <row r="26" ht="21.75" customHeight="1">
      <c r="A26" s="9"/>
      <c r="B26" s="11"/>
      <c r="C26" s="11" t="s">
        <v>67</v>
      </c>
      <c r="D26" s="13">
        <v>2.0</v>
      </c>
      <c r="E26" s="13">
        <v>3.0</v>
      </c>
      <c r="F26" s="13">
        <v>3.0</v>
      </c>
      <c r="G26" s="18">
        <v>5.0</v>
      </c>
      <c r="H26" s="13">
        <v>3.0</v>
      </c>
      <c r="I26" s="14" t="s">
        <v>15</v>
      </c>
      <c r="J26" s="15" t="s">
        <v>68</v>
      </c>
    </row>
    <row r="27" ht="21.75" customHeight="1">
      <c r="A27" s="9"/>
      <c r="B27" s="11"/>
      <c r="C27" s="11" t="s">
        <v>69</v>
      </c>
      <c r="D27" s="13">
        <v>3.0</v>
      </c>
      <c r="E27" s="13">
        <v>1.0</v>
      </c>
      <c r="F27" s="17">
        <v>4.0</v>
      </c>
      <c r="G27" s="20">
        <v>4.0</v>
      </c>
      <c r="H27" s="13">
        <v>2.0</v>
      </c>
      <c r="I27" s="14" t="s">
        <v>15</v>
      </c>
      <c r="J27" s="15" t="s">
        <v>24</v>
      </c>
    </row>
    <row r="28" ht="27.75" customHeight="1">
      <c r="A28" s="21">
        <v>6.0</v>
      </c>
      <c r="B28" s="22" t="s">
        <v>70</v>
      </c>
      <c r="C28" s="23" t="s">
        <v>71</v>
      </c>
      <c r="D28" s="12">
        <v>5.0</v>
      </c>
      <c r="E28" s="16">
        <v>4.0</v>
      </c>
      <c r="F28" s="30">
        <v>5.0</v>
      </c>
      <c r="G28" s="18">
        <v>5.0</v>
      </c>
      <c r="H28" s="24">
        <v>3.0</v>
      </c>
      <c r="I28" s="27" t="s">
        <v>29</v>
      </c>
      <c r="J28" s="28" t="s">
        <v>72</v>
      </c>
    </row>
    <row r="29" ht="21.75" customHeight="1">
      <c r="A29" s="21"/>
      <c r="B29" s="23"/>
      <c r="C29" s="23" t="s">
        <v>73</v>
      </c>
      <c r="D29" s="29">
        <v>4.0</v>
      </c>
      <c r="E29" s="24">
        <v>3.0</v>
      </c>
      <c r="F29" s="17">
        <v>4.0</v>
      </c>
      <c r="G29" s="20">
        <v>4.0</v>
      </c>
      <c r="H29" s="24">
        <v>3.0</v>
      </c>
      <c r="I29" s="27" t="s">
        <v>29</v>
      </c>
      <c r="J29" s="28" t="s">
        <v>74</v>
      </c>
    </row>
    <row r="30" ht="21.75" customHeight="1">
      <c r="A30" s="21"/>
      <c r="B30" s="23"/>
      <c r="C30" s="23" t="s">
        <v>75</v>
      </c>
      <c r="D30" s="24">
        <v>2.0</v>
      </c>
      <c r="E30" s="25">
        <v>5.0</v>
      </c>
      <c r="F30" s="24">
        <v>2.0</v>
      </c>
      <c r="G30" s="24">
        <v>2.0</v>
      </c>
      <c r="H30" s="19">
        <v>4.0</v>
      </c>
      <c r="I30" s="27" t="s">
        <v>29</v>
      </c>
      <c r="J30" s="28" t="s">
        <v>76</v>
      </c>
    </row>
    <row r="31" ht="21.75" customHeight="1">
      <c r="A31" s="21"/>
      <c r="B31" s="23"/>
      <c r="C31" s="23" t="s">
        <v>77</v>
      </c>
      <c r="D31" s="24">
        <v>1.0</v>
      </c>
      <c r="E31" s="24">
        <v>2.0</v>
      </c>
      <c r="F31" s="24">
        <v>1.0</v>
      </c>
      <c r="G31" s="24">
        <v>2.0</v>
      </c>
      <c r="H31" s="24">
        <v>2.0</v>
      </c>
      <c r="I31" s="27" t="s">
        <v>29</v>
      </c>
      <c r="J31" s="28" t="s">
        <v>78</v>
      </c>
    </row>
    <row r="32" ht="27.75" customHeight="1">
      <c r="A32" s="9">
        <v>7.0</v>
      </c>
      <c r="B32" s="10" t="s">
        <v>79</v>
      </c>
      <c r="C32" s="11" t="s">
        <v>80</v>
      </c>
      <c r="D32" s="29">
        <v>4.0</v>
      </c>
      <c r="E32" s="16">
        <v>4.0</v>
      </c>
      <c r="F32" s="30">
        <v>5.0</v>
      </c>
      <c r="G32" s="20">
        <v>4.0</v>
      </c>
      <c r="H32" s="26">
        <v>5.0</v>
      </c>
      <c r="I32" s="14" t="s">
        <v>81</v>
      </c>
      <c r="J32" s="15" t="s">
        <v>82</v>
      </c>
    </row>
    <row r="33" ht="21.75" customHeight="1">
      <c r="A33" s="9"/>
      <c r="B33" s="11"/>
      <c r="C33" s="11" t="s">
        <v>83</v>
      </c>
      <c r="D33" s="29">
        <v>4.0</v>
      </c>
      <c r="E33" s="13">
        <v>3.0</v>
      </c>
      <c r="F33" s="17">
        <v>4.0</v>
      </c>
      <c r="G33" s="20">
        <v>4.0</v>
      </c>
      <c r="H33" s="19">
        <v>4.0</v>
      </c>
      <c r="I33" s="14" t="s">
        <v>81</v>
      </c>
      <c r="J33" s="15" t="s">
        <v>84</v>
      </c>
    </row>
    <row r="34" ht="21.75" customHeight="1">
      <c r="A34" s="9"/>
      <c r="B34" s="11"/>
      <c r="C34" s="11" t="s">
        <v>85</v>
      </c>
      <c r="D34" s="13">
        <v>2.0</v>
      </c>
      <c r="E34" s="13">
        <v>2.0</v>
      </c>
      <c r="F34" s="13">
        <v>2.0</v>
      </c>
      <c r="G34" s="13">
        <v>2.0</v>
      </c>
      <c r="H34" s="13">
        <v>2.0</v>
      </c>
      <c r="I34" s="14" t="s">
        <v>81</v>
      </c>
      <c r="J34" s="15" t="s">
        <v>86</v>
      </c>
    </row>
    <row r="35" ht="21.75" customHeight="1">
      <c r="A35" s="9"/>
      <c r="B35" s="11"/>
      <c r="C35" s="11" t="s">
        <v>87</v>
      </c>
      <c r="D35" s="13">
        <v>2.0</v>
      </c>
      <c r="E35" s="13">
        <v>2.0</v>
      </c>
      <c r="F35" s="13">
        <v>2.0</v>
      </c>
      <c r="G35" s="13">
        <v>2.0</v>
      </c>
      <c r="H35" s="13">
        <v>1.0</v>
      </c>
      <c r="I35" s="14" t="s">
        <v>81</v>
      </c>
      <c r="J35" s="15" t="s">
        <v>88</v>
      </c>
    </row>
    <row r="36" ht="27.75" customHeight="1">
      <c r="A36" s="21">
        <v>8.0</v>
      </c>
      <c r="B36" s="22" t="s">
        <v>89</v>
      </c>
      <c r="C36" s="23" t="s">
        <v>90</v>
      </c>
      <c r="D36" s="24">
        <v>3.0</v>
      </c>
      <c r="E36" s="24">
        <v>2.0</v>
      </c>
      <c r="F36" s="17">
        <v>4.0</v>
      </c>
      <c r="G36" s="18">
        <v>5.0</v>
      </c>
      <c r="H36" s="24">
        <v>3.0</v>
      </c>
      <c r="I36" s="27" t="s">
        <v>51</v>
      </c>
      <c r="J36" s="28" t="s">
        <v>91</v>
      </c>
    </row>
    <row r="37" ht="21.75" customHeight="1">
      <c r="A37" s="21"/>
      <c r="B37" s="23"/>
      <c r="C37" s="23" t="s">
        <v>92</v>
      </c>
      <c r="D37" s="29">
        <v>4.0</v>
      </c>
      <c r="E37" s="24">
        <v>3.0</v>
      </c>
      <c r="F37" s="24">
        <v>3.0</v>
      </c>
      <c r="G37" s="18">
        <v>5.0</v>
      </c>
      <c r="H37" s="24">
        <v>3.0</v>
      </c>
      <c r="I37" s="27" t="s">
        <v>51</v>
      </c>
      <c r="J37" s="28" t="s">
        <v>93</v>
      </c>
    </row>
    <row r="38" ht="21.75" customHeight="1">
      <c r="A38" s="21"/>
      <c r="B38" s="23"/>
      <c r="C38" s="23" t="s">
        <v>94</v>
      </c>
      <c r="D38" s="29">
        <v>4.0</v>
      </c>
      <c r="E38" s="24">
        <v>2.0</v>
      </c>
      <c r="F38" s="17">
        <v>4.0</v>
      </c>
      <c r="G38" s="24">
        <v>3.0</v>
      </c>
      <c r="H38" s="24">
        <v>3.0</v>
      </c>
      <c r="I38" s="27" t="s">
        <v>51</v>
      </c>
      <c r="J38" s="28" t="s">
        <v>95</v>
      </c>
    </row>
    <row r="39" ht="21.75" customHeight="1">
      <c r="A39" s="21"/>
      <c r="B39" s="23"/>
      <c r="C39" s="23" t="s">
        <v>96</v>
      </c>
      <c r="D39" s="24">
        <v>3.0</v>
      </c>
      <c r="E39" s="24">
        <v>2.0</v>
      </c>
      <c r="F39" s="17">
        <v>4.0</v>
      </c>
      <c r="G39" s="20">
        <v>4.0</v>
      </c>
      <c r="H39" s="24">
        <v>3.0</v>
      </c>
      <c r="I39" s="27" t="s">
        <v>51</v>
      </c>
      <c r="J39" s="28" t="s">
        <v>97</v>
      </c>
    </row>
    <row r="40" ht="21.75" customHeight="1">
      <c r="A40" s="21"/>
      <c r="B40" s="23"/>
      <c r="C40" s="23" t="s">
        <v>98</v>
      </c>
      <c r="D40" s="24">
        <v>2.0</v>
      </c>
      <c r="E40" s="25">
        <v>5.0</v>
      </c>
      <c r="F40" s="24">
        <v>3.0</v>
      </c>
      <c r="G40" s="24">
        <v>1.0</v>
      </c>
      <c r="H40" s="19">
        <v>4.0</v>
      </c>
      <c r="I40" s="27" t="s">
        <v>51</v>
      </c>
      <c r="J40" s="28" t="s">
        <v>52</v>
      </c>
    </row>
    <row r="41" ht="27.75" customHeight="1">
      <c r="A41" s="9">
        <v>9.0</v>
      </c>
      <c r="B41" s="10" t="s">
        <v>99</v>
      </c>
      <c r="C41" s="11" t="s">
        <v>100</v>
      </c>
      <c r="D41" s="29">
        <v>4.0</v>
      </c>
      <c r="E41" s="13">
        <v>2.0</v>
      </c>
      <c r="F41" s="13">
        <v>3.0</v>
      </c>
      <c r="G41" s="13">
        <v>3.0</v>
      </c>
      <c r="H41" s="13">
        <v>3.0</v>
      </c>
      <c r="I41" s="14" t="s">
        <v>29</v>
      </c>
      <c r="J41" s="15" t="s">
        <v>101</v>
      </c>
    </row>
    <row r="42" ht="21.75" customHeight="1">
      <c r="A42" s="9"/>
      <c r="B42" s="11"/>
      <c r="C42" s="11" t="s">
        <v>102</v>
      </c>
      <c r="D42" s="13">
        <v>2.0</v>
      </c>
      <c r="E42" s="25">
        <v>5.0</v>
      </c>
      <c r="F42" s="13">
        <v>3.0</v>
      </c>
      <c r="G42" s="13">
        <v>2.0</v>
      </c>
      <c r="H42" s="19">
        <v>4.0</v>
      </c>
      <c r="I42" s="14" t="s">
        <v>29</v>
      </c>
      <c r="J42" s="15" t="s">
        <v>103</v>
      </c>
    </row>
    <row r="43" ht="21.75" customHeight="1">
      <c r="A43" s="9"/>
      <c r="B43" s="11"/>
      <c r="C43" s="11" t="s">
        <v>104</v>
      </c>
      <c r="D43" s="13">
        <v>3.0</v>
      </c>
      <c r="E43" s="13">
        <v>3.0</v>
      </c>
      <c r="F43" s="13">
        <v>3.0</v>
      </c>
      <c r="G43" s="20">
        <v>4.0</v>
      </c>
      <c r="H43" s="13">
        <v>3.0</v>
      </c>
      <c r="I43" s="14" t="s">
        <v>29</v>
      </c>
      <c r="J43" s="15" t="s">
        <v>105</v>
      </c>
    </row>
    <row r="44" ht="21.75" customHeight="1">
      <c r="A44" s="9"/>
      <c r="B44" s="11"/>
      <c r="C44" s="11" t="s">
        <v>106</v>
      </c>
      <c r="D44" s="13">
        <v>2.0</v>
      </c>
      <c r="E44" s="13">
        <v>2.0</v>
      </c>
      <c r="F44" s="13">
        <v>2.0</v>
      </c>
      <c r="G44" s="13">
        <v>2.0</v>
      </c>
      <c r="H44" s="13">
        <v>2.0</v>
      </c>
      <c r="I44" s="14" t="s">
        <v>29</v>
      </c>
      <c r="J44" s="15" t="s">
        <v>107</v>
      </c>
    </row>
    <row r="45" ht="27.75" customHeight="1">
      <c r="A45" s="21">
        <v>10.0</v>
      </c>
      <c r="B45" s="22" t="s">
        <v>108</v>
      </c>
      <c r="C45" s="23" t="s">
        <v>109</v>
      </c>
      <c r="D45" s="29">
        <v>4.0</v>
      </c>
      <c r="E45" s="16">
        <v>4.0</v>
      </c>
      <c r="F45" s="30">
        <v>5.0</v>
      </c>
      <c r="G45" s="20">
        <v>4.0</v>
      </c>
      <c r="H45" s="26">
        <v>5.0</v>
      </c>
      <c r="I45" s="27" t="s">
        <v>40</v>
      </c>
      <c r="J45" s="28" t="s">
        <v>110</v>
      </c>
    </row>
    <row r="46" ht="21.75" customHeight="1">
      <c r="A46" s="21"/>
      <c r="B46" s="23"/>
      <c r="C46" s="23" t="s">
        <v>111</v>
      </c>
      <c r="D46" s="24">
        <v>3.0</v>
      </c>
      <c r="E46" s="24">
        <v>3.0</v>
      </c>
      <c r="F46" s="24">
        <v>3.0</v>
      </c>
      <c r="G46" s="24">
        <v>3.0</v>
      </c>
      <c r="H46" s="24">
        <v>3.0</v>
      </c>
      <c r="I46" s="27" t="s">
        <v>40</v>
      </c>
      <c r="J46" s="28" t="s">
        <v>112</v>
      </c>
    </row>
    <row r="47" ht="21.75" customHeight="1">
      <c r="A47" s="21"/>
      <c r="B47" s="23"/>
      <c r="C47" s="23" t="s">
        <v>113</v>
      </c>
      <c r="D47" s="24">
        <v>1.0</v>
      </c>
      <c r="E47" s="24">
        <v>2.0</v>
      </c>
      <c r="F47" s="24">
        <v>1.0</v>
      </c>
      <c r="G47" s="24">
        <v>2.0</v>
      </c>
      <c r="H47" s="24">
        <v>1.0</v>
      </c>
      <c r="I47" s="27" t="s">
        <v>40</v>
      </c>
      <c r="J47" s="28" t="s">
        <v>114</v>
      </c>
    </row>
    <row r="48" ht="21.75" customHeight="1">
      <c r="A48" s="21"/>
      <c r="B48" s="23"/>
      <c r="C48" s="23" t="s">
        <v>115</v>
      </c>
      <c r="D48" s="24">
        <v>3.0</v>
      </c>
      <c r="E48" s="24">
        <v>3.0</v>
      </c>
      <c r="F48" s="24">
        <v>3.0</v>
      </c>
      <c r="G48" s="24">
        <v>3.0</v>
      </c>
      <c r="H48" s="24">
        <v>3.0</v>
      </c>
      <c r="I48" s="27" t="s">
        <v>40</v>
      </c>
      <c r="J48" s="28" t="s">
        <v>116</v>
      </c>
    </row>
    <row r="49" ht="27.75" customHeight="1">
      <c r="A49" s="9">
        <v>11.0</v>
      </c>
      <c r="B49" s="10" t="s">
        <v>117</v>
      </c>
      <c r="C49" s="11" t="s">
        <v>118</v>
      </c>
      <c r="D49" s="13">
        <v>3.0</v>
      </c>
      <c r="E49" s="25">
        <v>5.0</v>
      </c>
      <c r="F49" s="17">
        <v>4.0</v>
      </c>
      <c r="G49" s="13">
        <v>3.0</v>
      </c>
      <c r="H49" s="13">
        <v>3.0</v>
      </c>
      <c r="I49" s="14" t="s">
        <v>21</v>
      </c>
      <c r="J49" s="15" t="s">
        <v>119</v>
      </c>
    </row>
    <row r="50" ht="21.75" customHeight="1">
      <c r="A50" s="9"/>
      <c r="B50" s="11"/>
      <c r="C50" s="11" t="s">
        <v>120</v>
      </c>
      <c r="D50" s="12">
        <v>5.0</v>
      </c>
      <c r="E50" s="13">
        <v>3.0</v>
      </c>
      <c r="F50" s="17">
        <v>4.0</v>
      </c>
      <c r="G50" s="13">
        <v>3.0</v>
      </c>
      <c r="H50" s="19">
        <v>4.0</v>
      </c>
      <c r="I50" s="14" t="s">
        <v>15</v>
      </c>
      <c r="J50" s="15" t="s">
        <v>64</v>
      </c>
    </row>
    <row r="51" ht="21.75" customHeight="1">
      <c r="A51" s="9"/>
      <c r="B51" s="11"/>
      <c r="C51" s="11" t="s">
        <v>121</v>
      </c>
      <c r="D51" s="29">
        <v>4.0</v>
      </c>
      <c r="E51" s="16">
        <v>4.0</v>
      </c>
      <c r="F51" s="17">
        <v>4.0</v>
      </c>
      <c r="G51" s="20">
        <v>4.0</v>
      </c>
      <c r="H51" s="13">
        <v>3.0</v>
      </c>
      <c r="I51" s="14" t="s">
        <v>21</v>
      </c>
      <c r="J51" s="15" t="s">
        <v>122</v>
      </c>
    </row>
    <row r="52" ht="21.75" customHeight="1">
      <c r="A52" s="9"/>
      <c r="B52" s="11"/>
      <c r="C52" s="11" t="s">
        <v>123</v>
      </c>
      <c r="D52" s="29">
        <v>4.0</v>
      </c>
      <c r="E52" s="13">
        <v>2.0</v>
      </c>
      <c r="F52" s="17">
        <v>4.0</v>
      </c>
      <c r="G52" s="18">
        <v>5.0</v>
      </c>
      <c r="H52" s="13">
        <v>2.0</v>
      </c>
      <c r="I52" s="14" t="s">
        <v>21</v>
      </c>
      <c r="J52" s="15" t="s">
        <v>124</v>
      </c>
    </row>
    <row r="53" ht="21.75" customHeight="1">
      <c r="A53" s="9"/>
      <c r="B53" s="11"/>
      <c r="C53" s="11" t="s">
        <v>125</v>
      </c>
      <c r="D53" s="13">
        <v>3.0</v>
      </c>
      <c r="E53" s="13">
        <v>3.0</v>
      </c>
      <c r="F53" s="17">
        <v>4.0</v>
      </c>
      <c r="G53" s="20">
        <v>4.0</v>
      </c>
      <c r="H53" s="19">
        <v>4.0</v>
      </c>
      <c r="I53" s="14" t="s">
        <v>15</v>
      </c>
      <c r="J53" s="15" t="s">
        <v>68</v>
      </c>
    </row>
    <row r="54" ht="27.75" customHeight="1">
      <c r="A54" s="21">
        <v>12.0</v>
      </c>
      <c r="B54" s="22" t="s">
        <v>126</v>
      </c>
      <c r="C54" s="23" t="s">
        <v>127</v>
      </c>
      <c r="D54" s="24">
        <v>3.0</v>
      </c>
      <c r="E54" s="16">
        <v>4.0</v>
      </c>
      <c r="F54" s="17">
        <v>4.0</v>
      </c>
      <c r="G54" s="24">
        <v>3.0</v>
      </c>
      <c r="H54" s="19">
        <v>4.0</v>
      </c>
      <c r="I54" s="27" t="s">
        <v>29</v>
      </c>
      <c r="J54" s="28" t="s">
        <v>128</v>
      </c>
    </row>
    <row r="55" ht="21.75" customHeight="1">
      <c r="A55" s="21"/>
      <c r="B55" s="23"/>
      <c r="C55" s="23" t="s">
        <v>129</v>
      </c>
      <c r="D55" s="24">
        <v>2.0</v>
      </c>
      <c r="E55" s="16">
        <v>4.0</v>
      </c>
      <c r="F55" s="24">
        <v>2.0</v>
      </c>
      <c r="G55" s="24">
        <v>3.0</v>
      </c>
      <c r="H55" s="24">
        <v>3.0</v>
      </c>
      <c r="I55" s="27" t="s">
        <v>29</v>
      </c>
      <c r="J55" s="28" t="s">
        <v>130</v>
      </c>
    </row>
    <row r="56" ht="21.75" customHeight="1">
      <c r="A56" s="21"/>
      <c r="B56" s="23"/>
      <c r="C56" s="23" t="s">
        <v>131</v>
      </c>
      <c r="D56" s="24">
        <v>2.0</v>
      </c>
      <c r="E56" s="16">
        <v>4.0</v>
      </c>
      <c r="F56" s="17">
        <v>4.0</v>
      </c>
      <c r="G56" s="18">
        <v>5.0</v>
      </c>
      <c r="H56" s="19">
        <v>4.0</v>
      </c>
      <c r="I56" s="27" t="s">
        <v>36</v>
      </c>
      <c r="J56" s="28" t="s">
        <v>132</v>
      </c>
    </row>
    <row r="57" ht="21.75" customHeight="1">
      <c r="A57" s="21"/>
      <c r="B57" s="23"/>
      <c r="C57" s="23" t="s">
        <v>133</v>
      </c>
      <c r="D57" s="24">
        <v>3.0</v>
      </c>
      <c r="E57" s="16">
        <v>4.0</v>
      </c>
      <c r="F57" s="24">
        <v>2.0</v>
      </c>
      <c r="G57" s="24">
        <v>2.0</v>
      </c>
      <c r="H57" s="24">
        <v>3.0</v>
      </c>
      <c r="I57" s="27" t="s">
        <v>29</v>
      </c>
      <c r="J57" s="28" t="s">
        <v>134</v>
      </c>
    </row>
    <row r="58" ht="27.75" customHeight="1">
      <c r="A58" s="9">
        <v>13.0</v>
      </c>
      <c r="B58" s="10" t="s">
        <v>135</v>
      </c>
      <c r="C58" s="11" t="s">
        <v>136</v>
      </c>
      <c r="D58" s="12">
        <v>5.0</v>
      </c>
      <c r="E58" s="13">
        <v>2.0</v>
      </c>
      <c r="F58" s="17">
        <v>4.0</v>
      </c>
      <c r="G58" s="13">
        <v>2.0</v>
      </c>
      <c r="H58" s="13">
        <v>3.0</v>
      </c>
      <c r="I58" s="14" t="s">
        <v>51</v>
      </c>
      <c r="J58" s="15" t="s">
        <v>95</v>
      </c>
    </row>
    <row r="59" ht="21.75" customHeight="1">
      <c r="A59" s="9"/>
      <c r="B59" s="11"/>
      <c r="C59" s="11" t="s">
        <v>137</v>
      </c>
      <c r="D59" s="13">
        <v>2.0</v>
      </c>
      <c r="E59" s="25">
        <v>5.0</v>
      </c>
      <c r="F59" s="13">
        <v>3.0</v>
      </c>
      <c r="G59" s="13">
        <v>3.0</v>
      </c>
      <c r="H59" s="19">
        <v>4.0</v>
      </c>
      <c r="I59" s="14" t="s">
        <v>51</v>
      </c>
      <c r="J59" s="15" t="s">
        <v>138</v>
      </c>
    </row>
    <row r="60" ht="21.75" customHeight="1">
      <c r="A60" s="9"/>
      <c r="B60" s="11"/>
      <c r="C60" s="11" t="s">
        <v>139</v>
      </c>
      <c r="D60" s="13">
        <v>3.0</v>
      </c>
      <c r="E60" s="13">
        <v>3.0</v>
      </c>
      <c r="F60" s="13">
        <v>3.0</v>
      </c>
      <c r="G60" s="20">
        <v>4.0</v>
      </c>
      <c r="H60" s="13">
        <v>3.0</v>
      </c>
      <c r="I60" s="14" t="s">
        <v>51</v>
      </c>
      <c r="J60" s="15" t="s">
        <v>140</v>
      </c>
    </row>
    <row r="61" ht="21.75" customHeight="1">
      <c r="A61" s="9"/>
      <c r="B61" s="11"/>
      <c r="C61" s="11" t="s">
        <v>141</v>
      </c>
      <c r="D61" s="13">
        <v>3.0</v>
      </c>
      <c r="E61" s="13">
        <v>3.0</v>
      </c>
      <c r="F61" s="17">
        <v>4.0</v>
      </c>
      <c r="G61" s="18">
        <v>5.0</v>
      </c>
      <c r="H61" s="19">
        <v>4.0</v>
      </c>
      <c r="I61" s="14" t="s">
        <v>51</v>
      </c>
      <c r="J61" s="15" t="s">
        <v>58</v>
      </c>
    </row>
    <row r="62" ht="21.75" customHeight="1">
      <c r="A62" s="9"/>
      <c r="B62" s="11"/>
      <c r="C62" s="11" t="s">
        <v>142</v>
      </c>
      <c r="D62" s="13">
        <v>2.0</v>
      </c>
      <c r="E62" s="25">
        <v>5.0</v>
      </c>
      <c r="F62" s="13">
        <v>3.0</v>
      </c>
      <c r="G62" s="13">
        <v>3.0</v>
      </c>
      <c r="H62" s="19">
        <v>4.0</v>
      </c>
      <c r="I62" s="14" t="s">
        <v>51</v>
      </c>
      <c r="J62" s="15" t="s">
        <v>143</v>
      </c>
    </row>
    <row r="63" ht="27.75" customHeight="1">
      <c r="A63" s="21">
        <v>14.0</v>
      </c>
      <c r="B63" s="22" t="s">
        <v>144</v>
      </c>
      <c r="C63" s="23" t="s">
        <v>145</v>
      </c>
      <c r="D63" s="12">
        <v>5.0</v>
      </c>
      <c r="E63" s="24">
        <v>3.0</v>
      </c>
      <c r="F63" s="30">
        <v>5.0</v>
      </c>
      <c r="G63" s="20">
        <v>4.0</v>
      </c>
      <c r="H63" s="26">
        <v>5.0</v>
      </c>
      <c r="I63" s="27" t="s">
        <v>81</v>
      </c>
      <c r="J63" s="28" t="s">
        <v>146</v>
      </c>
    </row>
    <row r="64" ht="21.75" customHeight="1">
      <c r="A64" s="21"/>
      <c r="B64" s="23"/>
      <c r="C64" s="23" t="s">
        <v>147</v>
      </c>
      <c r="D64" s="29">
        <v>4.0</v>
      </c>
      <c r="E64" s="16">
        <v>4.0</v>
      </c>
      <c r="F64" s="17">
        <v>4.0</v>
      </c>
      <c r="G64" s="24">
        <v>3.0</v>
      </c>
      <c r="H64" s="19">
        <v>4.0</v>
      </c>
      <c r="I64" s="27" t="s">
        <v>81</v>
      </c>
      <c r="J64" s="28" t="s">
        <v>148</v>
      </c>
    </row>
    <row r="65" ht="21.75" customHeight="1">
      <c r="A65" s="21"/>
      <c r="B65" s="23"/>
      <c r="C65" s="23" t="s">
        <v>149</v>
      </c>
      <c r="D65" s="24">
        <v>2.0</v>
      </c>
      <c r="E65" s="16">
        <v>4.0</v>
      </c>
      <c r="F65" s="24">
        <v>2.0</v>
      </c>
      <c r="G65" s="24">
        <v>2.0</v>
      </c>
      <c r="H65" s="24">
        <v>3.0</v>
      </c>
      <c r="I65" s="27" t="s">
        <v>81</v>
      </c>
      <c r="J65" s="28" t="s">
        <v>150</v>
      </c>
    </row>
    <row r="66" ht="21.75" customHeight="1">
      <c r="A66" s="21"/>
      <c r="B66" s="23"/>
      <c r="C66" s="23" t="s">
        <v>151</v>
      </c>
      <c r="D66" s="24">
        <v>2.0</v>
      </c>
      <c r="E66" s="24">
        <v>2.0</v>
      </c>
      <c r="F66" s="24">
        <v>2.0</v>
      </c>
      <c r="G66" s="24">
        <v>2.0</v>
      </c>
      <c r="H66" s="24">
        <v>2.0</v>
      </c>
      <c r="I66" s="27" t="s">
        <v>152</v>
      </c>
      <c r="J66" s="28" t="s">
        <v>153</v>
      </c>
    </row>
    <row r="67" ht="27.75" customHeight="1">
      <c r="A67" s="9">
        <v>15.0</v>
      </c>
      <c r="B67" s="10" t="s">
        <v>154</v>
      </c>
      <c r="C67" s="11" t="s">
        <v>155</v>
      </c>
      <c r="D67" s="13">
        <v>2.0</v>
      </c>
      <c r="E67" s="13">
        <v>3.0</v>
      </c>
      <c r="F67" s="17">
        <v>4.0</v>
      </c>
      <c r="G67" s="18">
        <v>5.0</v>
      </c>
      <c r="H67" s="19">
        <v>4.0</v>
      </c>
      <c r="I67" s="14" t="s">
        <v>21</v>
      </c>
      <c r="J67" s="15" t="s">
        <v>156</v>
      </c>
    </row>
    <row r="68" ht="21.75" customHeight="1">
      <c r="A68" s="9"/>
      <c r="B68" s="11"/>
      <c r="C68" s="11" t="s">
        <v>157</v>
      </c>
      <c r="D68" s="13">
        <v>3.0</v>
      </c>
      <c r="E68" s="25">
        <v>5.0</v>
      </c>
      <c r="F68" s="17">
        <v>4.0</v>
      </c>
      <c r="G68" s="13">
        <v>2.0</v>
      </c>
      <c r="H68" s="19">
        <v>4.0</v>
      </c>
      <c r="I68" s="14" t="s">
        <v>21</v>
      </c>
      <c r="J68" s="15" t="s">
        <v>158</v>
      </c>
    </row>
    <row r="69" ht="21.75" customHeight="1">
      <c r="A69" s="9"/>
      <c r="B69" s="11"/>
      <c r="C69" s="11" t="s">
        <v>159</v>
      </c>
      <c r="D69" s="29">
        <v>4.0</v>
      </c>
      <c r="E69" s="13">
        <v>2.0</v>
      </c>
      <c r="F69" s="30">
        <v>5.0</v>
      </c>
      <c r="G69" s="18">
        <v>5.0</v>
      </c>
      <c r="H69" s="13">
        <v>3.0</v>
      </c>
      <c r="I69" s="14" t="s">
        <v>21</v>
      </c>
      <c r="J69" s="15" t="s">
        <v>124</v>
      </c>
    </row>
    <row r="70" ht="21.75" customHeight="1">
      <c r="A70" s="9"/>
      <c r="B70" s="11"/>
      <c r="C70" s="11" t="s">
        <v>160</v>
      </c>
      <c r="D70" s="12">
        <v>5.0</v>
      </c>
      <c r="E70" s="13">
        <v>3.0</v>
      </c>
      <c r="F70" s="17">
        <v>4.0</v>
      </c>
      <c r="G70" s="13">
        <v>3.0</v>
      </c>
      <c r="H70" s="19">
        <v>4.0</v>
      </c>
      <c r="I70" s="14" t="s">
        <v>15</v>
      </c>
      <c r="J70" s="15" t="s">
        <v>64</v>
      </c>
    </row>
    <row r="71" ht="21.75" customHeight="1">
      <c r="A71" s="9"/>
      <c r="B71" s="11"/>
      <c r="C71" s="11" t="s">
        <v>161</v>
      </c>
      <c r="D71" s="13">
        <v>3.0</v>
      </c>
      <c r="E71" s="25">
        <v>5.0</v>
      </c>
      <c r="F71" s="13">
        <v>3.0</v>
      </c>
      <c r="G71" s="13">
        <v>2.0</v>
      </c>
      <c r="H71" s="19">
        <v>4.0</v>
      </c>
      <c r="I71" s="14" t="s">
        <v>15</v>
      </c>
      <c r="J71" s="15" t="s">
        <v>26</v>
      </c>
    </row>
    <row r="72" ht="27.75" customHeight="1">
      <c r="A72" s="21">
        <v>16.0</v>
      </c>
      <c r="B72" s="22" t="s">
        <v>162</v>
      </c>
      <c r="C72" s="23" t="s">
        <v>163</v>
      </c>
      <c r="D72" s="29">
        <v>4.0</v>
      </c>
      <c r="E72" s="25">
        <v>5.0</v>
      </c>
      <c r="F72" s="17">
        <v>4.0</v>
      </c>
      <c r="G72" s="20">
        <v>4.0</v>
      </c>
      <c r="H72" s="26">
        <v>5.0</v>
      </c>
      <c r="I72" s="27" t="s">
        <v>29</v>
      </c>
      <c r="J72" s="28" t="s">
        <v>164</v>
      </c>
    </row>
    <row r="73" ht="21.75" customHeight="1">
      <c r="A73" s="21"/>
      <c r="B73" s="23"/>
      <c r="C73" s="23" t="s">
        <v>165</v>
      </c>
      <c r="D73" s="29">
        <v>4.0</v>
      </c>
      <c r="E73" s="24">
        <v>3.0</v>
      </c>
      <c r="F73" s="17">
        <v>4.0</v>
      </c>
      <c r="G73" s="24">
        <v>3.0</v>
      </c>
      <c r="H73" s="19">
        <v>4.0</v>
      </c>
      <c r="I73" s="27" t="s">
        <v>29</v>
      </c>
      <c r="J73" s="28" t="s">
        <v>166</v>
      </c>
    </row>
    <row r="74" ht="21.75" customHeight="1">
      <c r="A74" s="21"/>
      <c r="B74" s="23"/>
      <c r="C74" s="23" t="s">
        <v>167</v>
      </c>
      <c r="D74" s="24">
        <v>2.0</v>
      </c>
      <c r="E74" s="24">
        <v>2.0</v>
      </c>
      <c r="F74" s="24">
        <v>2.0</v>
      </c>
      <c r="G74" s="24">
        <v>2.0</v>
      </c>
      <c r="H74" s="24">
        <v>2.0</v>
      </c>
      <c r="I74" s="27" t="s">
        <v>29</v>
      </c>
      <c r="J74" s="28" t="s">
        <v>168</v>
      </c>
    </row>
    <row r="75" ht="21.75" customHeight="1">
      <c r="A75" s="21"/>
      <c r="B75" s="23"/>
      <c r="C75" s="23" t="s">
        <v>169</v>
      </c>
      <c r="D75" s="24">
        <v>3.0</v>
      </c>
      <c r="E75" s="24">
        <v>3.0</v>
      </c>
      <c r="F75" s="24">
        <v>3.0</v>
      </c>
      <c r="G75" s="24">
        <v>3.0</v>
      </c>
      <c r="H75" s="24">
        <v>3.0</v>
      </c>
      <c r="I75" s="27" t="s">
        <v>29</v>
      </c>
      <c r="J75" s="28" t="s">
        <v>170</v>
      </c>
    </row>
    <row r="76" ht="27.75" customHeight="1">
      <c r="A76" s="9">
        <v>17.0</v>
      </c>
      <c r="B76" s="10" t="s">
        <v>171</v>
      </c>
      <c r="C76" s="11" t="s">
        <v>172</v>
      </c>
      <c r="D76" s="29">
        <v>4.0</v>
      </c>
      <c r="E76" s="16">
        <v>4.0</v>
      </c>
      <c r="F76" s="30">
        <v>5.0</v>
      </c>
      <c r="G76" s="20">
        <v>4.0</v>
      </c>
      <c r="H76" s="26">
        <v>5.0</v>
      </c>
      <c r="I76" s="14" t="s">
        <v>40</v>
      </c>
      <c r="J76" s="15" t="s">
        <v>173</v>
      </c>
    </row>
    <row r="77" ht="21.75" customHeight="1">
      <c r="A77" s="9"/>
      <c r="B77" s="11"/>
      <c r="C77" s="11" t="s">
        <v>174</v>
      </c>
      <c r="D77" s="13">
        <v>2.0</v>
      </c>
      <c r="E77" s="13">
        <v>3.0</v>
      </c>
      <c r="F77" s="13">
        <v>2.0</v>
      </c>
      <c r="G77" s="13">
        <v>2.0</v>
      </c>
      <c r="H77" s="13">
        <v>3.0</v>
      </c>
      <c r="I77" s="14" t="s">
        <v>40</v>
      </c>
      <c r="J77" s="15" t="s">
        <v>175</v>
      </c>
    </row>
    <row r="78" ht="21.75" customHeight="1">
      <c r="A78" s="9"/>
      <c r="B78" s="11"/>
      <c r="C78" s="11" t="s">
        <v>176</v>
      </c>
      <c r="D78" s="13">
        <v>2.0</v>
      </c>
      <c r="E78" s="13">
        <v>3.0</v>
      </c>
      <c r="F78" s="13">
        <v>2.0</v>
      </c>
      <c r="G78" s="13">
        <v>3.0</v>
      </c>
      <c r="H78" s="13">
        <v>3.0</v>
      </c>
      <c r="I78" s="14" t="s">
        <v>40</v>
      </c>
      <c r="J78" s="15" t="s">
        <v>177</v>
      </c>
    </row>
    <row r="79" ht="21.75" customHeight="1">
      <c r="A79" s="9"/>
      <c r="B79" s="11"/>
      <c r="C79" s="11" t="s">
        <v>178</v>
      </c>
      <c r="D79" s="29">
        <v>4.0</v>
      </c>
      <c r="E79" s="13">
        <v>3.0</v>
      </c>
      <c r="F79" s="30">
        <v>5.0</v>
      </c>
      <c r="G79" s="20">
        <v>4.0</v>
      </c>
      <c r="H79" s="19">
        <v>4.0</v>
      </c>
      <c r="I79" s="14" t="s">
        <v>40</v>
      </c>
      <c r="J79" s="15" t="s">
        <v>179</v>
      </c>
    </row>
    <row r="80" ht="27.75" customHeight="1">
      <c r="A80" s="21">
        <v>18.0</v>
      </c>
      <c r="B80" s="22" t="s">
        <v>180</v>
      </c>
      <c r="C80" s="23" t="s">
        <v>181</v>
      </c>
      <c r="D80" s="24">
        <v>2.0</v>
      </c>
      <c r="E80" s="25">
        <v>5.0</v>
      </c>
      <c r="F80" s="24">
        <v>3.0</v>
      </c>
      <c r="G80" s="24">
        <v>1.0</v>
      </c>
      <c r="H80" s="19">
        <v>4.0</v>
      </c>
      <c r="I80" s="27" t="s">
        <v>21</v>
      </c>
      <c r="J80" s="28" t="s">
        <v>182</v>
      </c>
    </row>
    <row r="81" ht="21.75" customHeight="1">
      <c r="A81" s="21"/>
      <c r="B81" s="23"/>
      <c r="C81" s="23" t="s">
        <v>183</v>
      </c>
      <c r="D81" s="24">
        <v>3.0</v>
      </c>
      <c r="E81" s="16">
        <v>4.0</v>
      </c>
      <c r="F81" s="24">
        <v>3.0</v>
      </c>
      <c r="G81" s="20">
        <v>4.0</v>
      </c>
      <c r="H81" s="19">
        <v>4.0</v>
      </c>
      <c r="I81" s="27" t="s">
        <v>15</v>
      </c>
      <c r="J81" s="28" t="s">
        <v>184</v>
      </c>
    </row>
    <row r="82" ht="21.75" customHeight="1">
      <c r="A82" s="21"/>
      <c r="B82" s="23"/>
      <c r="C82" s="23" t="s">
        <v>185</v>
      </c>
      <c r="D82" s="29">
        <v>4.0</v>
      </c>
      <c r="E82" s="24">
        <v>2.0</v>
      </c>
      <c r="F82" s="17">
        <v>4.0</v>
      </c>
      <c r="G82" s="18">
        <v>5.0</v>
      </c>
      <c r="H82" s="24">
        <v>3.0</v>
      </c>
      <c r="I82" s="27" t="s">
        <v>21</v>
      </c>
      <c r="J82" s="28" t="s">
        <v>186</v>
      </c>
    </row>
    <row r="83" ht="21.75" customHeight="1">
      <c r="A83" s="21"/>
      <c r="B83" s="23"/>
      <c r="C83" s="23" t="s">
        <v>187</v>
      </c>
      <c r="D83" s="29">
        <v>4.0</v>
      </c>
      <c r="E83" s="16">
        <v>4.0</v>
      </c>
      <c r="F83" s="24">
        <v>3.0</v>
      </c>
      <c r="G83" s="24">
        <v>2.0</v>
      </c>
      <c r="H83" s="24">
        <v>3.0</v>
      </c>
      <c r="I83" s="27" t="s">
        <v>15</v>
      </c>
      <c r="J83" s="28" t="s">
        <v>188</v>
      </c>
    </row>
    <row r="84" ht="21.75" customHeight="1">
      <c r="A84" s="21"/>
      <c r="B84" s="23"/>
      <c r="C84" s="23" t="s">
        <v>189</v>
      </c>
      <c r="D84" s="24">
        <v>3.0</v>
      </c>
      <c r="E84" s="16">
        <v>4.0</v>
      </c>
      <c r="F84" s="24">
        <v>3.0</v>
      </c>
      <c r="G84" s="20">
        <v>4.0</v>
      </c>
      <c r="H84" s="19">
        <v>4.0</v>
      </c>
      <c r="I84" s="27" t="s">
        <v>21</v>
      </c>
      <c r="J84" s="28" t="s">
        <v>190</v>
      </c>
    </row>
    <row r="85" ht="27.75" customHeight="1">
      <c r="A85" s="9">
        <v>19.0</v>
      </c>
      <c r="B85" s="10" t="s">
        <v>191</v>
      </c>
      <c r="C85" s="11" t="s">
        <v>192</v>
      </c>
      <c r="D85" s="13">
        <v>3.0</v>
      </c>
      <c r="E85" s="25">
        <v>5.0</v>
      </c>
      <c r="F85" s="17">
        <v>4.0</v>
      </c>
      <c r="G85" s="13">
        <v>3.0</v>
      </c>
      <c r="H85" s="26">
        <v>5.0</v>
      </c>
      <c r="I85" s="14" t="s">
        <v>81</v>
      </c>
      <c r="J85" s="15" t="s">
        <v>193</v>
      </c>
    </row>
    <row r="86" ht="21.75" customHeight="1">
      <c r="A86" s="9"/>
      <c r="B86" s="11"/>
      <c r="C86" s="11" t="s">
        <v>194</v>
      </c>
      <c r="D86" s="29">
        <v>4.0</v>
      </c>
      <c r="E86" s="13">
        <v>2.0</v>
      </c>
      <c r="F86" s="17">
        <v>4.0</v>
      </c>
      <c r="G86" s="13">
        <v>3.0</v>
      </c>
      <c r="H86" s="13">
        <v>3.0</v>
      </c>
      <c r="I86" s="14" t="s">
        <v>81</v>
      </c>
      <c r="J86" s="15" t="s">
        <v>195</v>
      </c>
    </row>
    <row r="87" ht="21.75" customHeight="1">
      <c r="A87" s="9"/>
      <c r="B87" s="11"/>
      <c r="C87" s="11" t="s">
        <v>196</v>
      </c>
      <c r="D87" s="13">
        <v>2.0</v>
      </c>
      <c r="E87" s="13">
        <v>3.0</v>
      </c>
      <c r="F87" s="13">
        <v>2.0</v>
      </c>
      <c r="G87" s="13">
        <v>3.0</v>
      </c>
      <c r="H87" s="13">
        <v>2.0</v>
      </c>
      <c r="I87" s="14" t="s">
        <v>81</v>
      </c>
      <c r="J87" s="15" t="s">
        <v>197</v>
      </c>
    </row>
    <row r="88" ht="21.75" customHeight="1">
      <c r="A88" s="9"/>
      <c r="B88" s="11"/>
      <c r="C88" s="11" t="s">
        <v>198</v>
      </c>
      <c r="D88" s="13">
        <v>2.0</v>
      </c>
      <c r="E88" s="13">
        <v>2.0</v>
      </c>
      <c r="F88" s="13">
        <v>2.0</v>
      </c>
      <c r="G88" s="13">
        <v>2.0</v>
      </c>
      <c r="H88" s="13">
        <v>1.0</v>
      </c>
      <c r="I88" s="14" t="s">
        <v>81</v>
      </c>
      <c r="J88" s="15" t="s">
        <v>199</v>
      </c>
    </row>
    <row r="89" ht="27.75" customHeight="1">
      <c r="A89" s="21">
        <v>20.0</v>
      </c>
      <c r="B89" s="22" t="s">
        <v>200</v>
      </c>
      <c r="C89" s="23" t="s">
        <v>201</v>
      </c>
      <c r="D89" s="24">
        <v>3.0</v>
      </c>
      <c r="E89" s="24">
        <v>2.0</v>
      </c>
      <c r="F89" s="17">
        <v>4.0</v>
      </c>
      <c r="G89" s="18">
        <v>5.0</v>
      </c>
      <c r="H89" s="24">
        <v>2.0</v>
      </c>
      <c r="I89" s="27" t="s">
        <v>51</v>
      </c>
      <c r="J89" s="28" t="s">
        <v>202</v>
      </c>
    </row>
    <row r="90" ht="21.75" customHeight="1">
      <c r="A90" s="21"/>
      <c r="B90" s="23"/>
      <c r="C90" s="23" t="s">
        <v>203</v>
      </c>
      <c r="D90" s="24">
        <v>3.0</v>
      </c>
      <c r="E90" s="16">
        <v>4.0</v>
      </c>
      <c r="F90" s="17">
        <v>4.0</v>
      </c>
      <c r="G90" s="20">
        <v>4.0</v>
      </c>
      <c r="H90" s="24">
        <v>3.0</v>
      </c>
      <c r="I90" s="27" t="s">
        <v>51</v>
      </c>
      <c r="J90" s="28" t="s">
        <v>204</v>
      </c>
    </row>
    <row r="91" ht="21.75" customHeight="1">
      <c r="A91" s="21"/>
      <c r="B91" s="23"/>
      <c r="C91" s="23" t="s">
        <v>205</v>
      </c>
      <c r="D91" s="12">
        <v>5.0</v>
      </c>
      <c r="E91" s="24">
        <v>2.0</v>
      </c>
      <c r="F91" s="17">
        <v>4.0</v>
      </c>
      <c r="G91" s="24">
        <v>3.0</v>
      </c>
      <c r="H91" s="24">
        <v>2.0</v>
      </c>
      <c r="I91" s="27" t="s">
        <v>51</v>
      </c>
      <c r="J91" s="28" t="s">
        <v>95</v>
      </c>
    </row>
    <row r="92" ht="21.75" customHeight="1">
      <c r="A92" s="21"/>
      <c r="B92" s="23"/>
      <c r="C92" s="23" t="s">
        <v>206</v>
      </c>
      <c r="D92" s="24">
        <v>2.0</v>
      </c>
      <c r="E92" s="25">
        <v>5.0</v>
      </c>
      <c r="F92" s="24">
        <v>3.0</v>
      </c>
      <c r="G92" s="24">
        <v>2.0</v>
      </c>
      <c r="H92" s="19">
        <v>4.0</v>
      </c>
      <c r="I92" s="27" t="s">
        <v>207</v>
      </c>
      <c r="J92" s="28" t="s">
        <v>208</v>
      </c>
    </row>
    <row r="93" ht="21.75" customHeight="1">
      <c r="A93" s="21"/>
      <c r="B93" s="23"/>
      <c r="C93" s="23" t="s">
        <v>209</v>
      </c>
      <c r="D93" s="24">
        <v>3.0</v>
      </c>
      <c r="E93" s="24">
        <v>3.0</v>
      </c>
      <c r="F93" s="17">
        <v>4.0</v>
      </c>
      <c r="G93" s="18">
        <v>5.0</v>
      </c>
      <c r="H93" s="19">
        <v>4.0</v>
      </c>
      <c r="I93" s="27" t="s">
        <v>207</v>
      </c>
      <c r="J93" s="28" t="s">
        <v>210</v>
      </c>
    </row>
    <row r="94" ht="27.75" customHeight="1">
      <c r="A94" s="9">
        <v>21.0</v>
      </c>
      <c r="B94" s="10" t="s">
        <v>211</v>
      </c>
      <c r="C94" s="11" t="s">
        <v>212</v>
      </c>
      <c r="D94" s="12">
        <v>5.0</v>
      </c>
      <c r="E94" s="13">
        <v>2.0</v>
      </c>
      <c r="F94" s="30">
        <v>5.0</v>
      </c>
      <c r="G94" s="13">
        <v>3.0</v>
      </c>
      <c r="H94" s="19">
        <v>4.0</v>
      </c>
      <c r="I94" s="14" t="s">
        <v>213</v>
      </c>
      <c r="J94" s="15" t="s">
        <v>214</v>
      </c>
    </row>
    <row r="95" ht="21.75" customHeight="1">
      <c r="A95" s="9"/>
      <c r="B95" s="11"/>
      <c r="C95" s="11" t="s">
        <v>215</v>
      </c>
      <c r="D95" s="29">
        <v>4.0</v>
      </c>
      <c r="E95" s="16">
        <v>4.0</v>
      </c>
      <c r="F95" s="30">
        <v>5.0</v>
      </c>
      <c r="G95" s="13">
        <v>3.0</v>
      </c>
      <c r="H95" s="26">
        <v>5.0</v>
      </c>
      <c r="I95" s="14" t="s">
        <v>216</v>
      </c>
      <c r="J95" s="15" t="s">
        <v>217</v>
      </c>
    </row>
    <row r="96" ht="21.75" customHeight="1">
      <c r="A96" s="9"/>
      <c r="B96" s="11"/>
      <c r="C96" s="11" t="s">
        <v>218</v>
      </c>
      <c r="D96" s="13">
        <v>2.0</v>
      </c>
      <c r="E96" s="16">
        <v>4.0</v>
      </c>
      <c r="F96" s="13">
        <v>2.0</v>
      </c>
      <c r="G96" s="13">
        <v>2.0</v>
      </c>
      <c r="H96" s="13">
        <v>3.0</v>
      </c>
      <c r="I96" s="14" t="s">
        <v>29</v>
      </c>
      <c r="J96" s="15" t="s">
        <v>219</v>
      </c>
    </row>
    <row r="97" ht="21.75" customHeight="1">
      <c r="A97" s="9"/>
      <c r="B97" s="11"/>
      <c r="C97" s="11" t="s">
        <v>220</v>
      </c>
      <c r="D97" s="13">
        <v>3.0</v>
      </c>
      <c r="E97" s="13">
        <v>3.0</v>
      </c>
      <c r="F97" s="17">
        <v>4.0</v>
      </c>
      <c r="G97" s="20">
        <v>4.0</v>
      </c>
      <c r="H97" s="19">
        <v>4.0</v>
      </c>
      <c r="I97" s="14" t="s">
        <v>221</v>
      </c>
      <c r="J97" s="15" t="s">
        <v>222</v>
      </c>
    </row>
    <row r="98" ht="27.75" customHeight="1">
      <c r="A98" s="21">
        <v>22.0</v>
      </c>
      <c r="B98" s="22" t="s">
        <v>223</v>
      </c>
      <c r="C98" s="23" t="s">
        <v>224</v>
      </c>
      <c r="D98" s="29">
        <v>4.0</v>
      </c>
      <c r="E98" s="24">
        <v>3.0</v>
      </c>
      <c r="F98" s="30">
        <v>5.0</v>
      </c>
      <c r="G98" s="20">
        <v>4.0</v>
      </c>
      <c r="H98" s="26">
        <v>5.0</v>
      </c>
      <c r="I98" s="27" t="s">
        <v>40</v>
      </c>
      <c r="J98" s="28" t="s">
        <v>225</v>
      </c>
    </row>
    <row r="99" ht="21.75" customHeight="1">
      <c r="A99" s="21"/>
      <c r="B99" s="23"/>
      <c r="C99" s="23" t="s">
        <v>226</v>
      </c>
      <c r="D99" s="24">
        <v>3.0</v>
      </c>
      <c r="E99" s="24">
        <v>3.0</v>
      </c>
      <c r="F99" s="17">
        <v>4.0</v>
      </c>
      <c r="G99" s="24">
        <v>3.0</v>
      </c>
      <c r="H99" s="19">
        <v>4.0</v>
      </c>
      <c r="I99" s="27" t="s">
        <v>40</v>
      </c>
      <c r="J99" s="28" t="s">
        <v>227</v>
      </c>
    </row>
    <row r="100" ht="21.75" customHeight="1">
      <c r="A100" s="21"/>
      <c r="B100" s="23"/>
      <c r="C100" s="23" t="s">
        <v>228</v>
      </c>
      <c r="D100" s="24">
        <v>1.0</v>
      </c>
      <c r="E100" s="24">
        <v>2.0</v>
      </c>
      <c r="F100" s="24">
        <v>1.0</v>
      </c>
      <c r="G100" s="24">
        <v>2.0</v>
      </c>
      <c r="H100" s="24">
        <v>1.0</v>
      </c>
      <c r="I100" s="27" t="s">
        <v>40</v>
      </c>
      <c r="J100" s="28" t="s">
        <v>229</v>
      </c>
    </row>
    <row r="101" ht="21.75" customHeight="1">
      <c r="A101" s="21"/>
      <c r="B101" s="23"/>
      <c r="C101" s="23" t="s">
        <v>230</v>
      </c>
      <c r="D101" s="24">
        <v>2.0</v>
      </c>
      <c r="E101" s="24">
        <v>2.0</v>
      </c>
      <c r="F101" s="24">
        <v>2.0</v>
      </c>
      <c r="G101" s="24">
        <v>2.0</v>
      </c>
      <c r="H101" s="24">
        <v>1.0</v>
      </c>
      <c r="I101" s="27" t="s">
        <v>45</v>
      </c>
      <c r="J101" s="28" t="s">
        <v>231</v>
      </c>
    </row>
    <row r="102" ht="27.75" customHeight="1">
      <c r="A102" s="9">
        <v>23.0</v>
      </c>
      <c r="B102" s="10" t="s">
        <v>232</v>
      </c>
      <c r="C102" s="11" t="s">
        <v>233</v>
      </c>
      <c r="D102" s="29">
        <v>4.0</v>
      </c>
      <c r="E102" s="16">
        <v>4.0</v>
      </c>
      <c r="F102" s="30">
        <v>5.0</v>
      </c>
      <c r="G102" s="18">
        <v>5.0</v>
      </c>
      <c r="H102" s="26">
        <v>5.0</v>
      </c>
      <c r="I102" s="14" t="s">
        <v>234</v>
      </c>
      <c r="J102" s="15" t="s">
        <v>235</v>
      </c>
    </row>
    <row r="103" ht="21.75" customHeight="1">
      <c r="A103" s="9"/>
      <c r="B103" s="11"/>
      <c r="C103" s="11" t="s">
        <v>236</v>
      </c>
      <c r="D103" s="13">
        <v>3.0</v>
      </c>
      <c r="E103" s="13">
        <v>3.0</v>
      </c>
      <c r="F103" s="13">
        <v>3.0</v>
      </c>
      <c r="G103" s="13">
        <v>3.0</v>
      </c>
      <c r="H103" s="13">
        <v>3.0</v>
      </c>
      <c r="I103" s="14" t="s">
        <v>234</v>
      </c>
      <c r="J103" s="15" t="s">
        <v>237</v>
      </c>
    </row>
    <row r="104" ht="21.75" customHeight="1">
      <c r="A104" s="9"/>
      <c r="B104" s="11"/>
      <c r="C104" s="11" t="s">
        <v>238</v>
      </c>
      <c r="D104" s="13">
        <v>2.0</v>
      </c>
      <c r="E104" s="13">
        <v>2.0</v>
      </c>
      <c r="F104" s="13">
        <v>2.0</v>
      </c>
      <c r="G104" s="13">
        <v>2.0</v>
      </c>
      <c r="H104" s="13">
        <v>2.0</v>
      </c>
      <c r="I104" s="14" t="s">
        <v>234</v>
      </c>
      <c r="J104" s="15" t="s">
        <v>239</v>
      </c>
    </row>
    <row r="105" ht="21.75" customHeight="1">
      <c r="A105" s="9"/>
      <c r="B105" s="11"/>
      <c r="C105" s="11" t="s">
        <v>240</v>
      </c>
      <c r="D105" s="13">
        <v>2.0</v>
      </c>
      <c r="E105" s="13">
        <v>3.0</v>
      </c>
      <c r="F105" s="13">
        <v>2.0</v>
      </c>
      <c r="G105" s="13">
        <v>3.0</v>
      </c>
      <c r="H105" s="13">
        <v>2.0</v>
      </c>
      <c r="I105" s="14" t="s">
        <v>51</v>
      </c>
      <c r="J105" s="15" t="s">
        <v>241</v>
      </c>
    </row>
    <row r="106" ht="27.75" customHeight="1">
      <c r="A106" s="21">
        <v>24.0</v>
      </c>
      <c r="B106" s="22" t="s">
        <v>242</v>
      </c>
      <c r="C106" s="23" t="s">
        <v>243</v>
      </c>
      <c r="D106" s="24">
        <v>3.0</v>
      </c>
      <c r="E106" s="24">
        <v>3.0</v>
      </c>
      <c r="F106" s="17">
        <v>4.0</v>
      </c>
      <c r="G106" s="18">
        <v>5.0</v>
      </c>
      <c r="H106" s="19">
        <v>4.0</v>
      </c>
      <c r="I106" s="27" t="s">
        <v>21</v>
      </c>
      <c r="J106" s="28" t="s">
        <v>156</v>
      </c>
    </row>
    <row r="107" ht="21.75" customHeight="1">
      <c r="A107" s="21"/>
      <c r="B107" s="23"/>
      <c r="C107" s="23" t="s">
        <v>244</v>
      </c>
      <c r="D107" s="24">
        <v>3.0</v>
      </c>
      <c r="E107" s="25">
        <v>5.0</v>
      </c>
      <c r="F107" s="24">
        <v>3.0</v>
      </c>
      <c r="G107" s="24">
        <v>3.0</v>
      </c>
      <c r="H107" s="26">
        <v>5.0</v>
      </c>
      <c r="I107" s="27" t="s">
        <v>15</v>
      </c>
      <c r="J107" s="28" t="s">
        <v>26</v>
      </c>
    </row>
    <row r="108" ht="21.75" customHeight="1">
      <c r="A108" s="21"/>
      <c r="B108" s="23"/>
      <c r="C108" s="23" t="s">
        <v>245</v>
      </c>
      <c r="D108" s="12">
        <v>5.0</v>
      </c>
      <c r="E108" s="24">
        <v>3.0</v>
      </c>
      <c r="F108" s="30">
        <v>5.0</v>
      </c>
      <c r="G108" s="20">
        <v>4.0</v>
      </c>
      <c r="H108" s="19">
        <v>4.0</v>
      </c>
      <c r="I108" s="27" t="s">
        <v>213</v>
      </c>
      <c r="J108" s="28" t="s">
        <v>214</v>
      </c>
    </row>
    <row r="109" ht="21.75" customHeight="1">
      <c r="A109" s="21"/>
      <c r="B109" s="23"/>
      <c r="C109" s="23" t="s">
        <v>246</v>
      </c>
      <c r="D109" s="29">
        <v>4.0</v>
      </c>
      <c r="E109" s="16">
        <v>4.0</v>
      </c>
      <c r="F109" s="24">
        <v>3.0</v>
      </c>
      <c r="G109" s="24">
        <v>3.0</v>
      </c>
      <c r="H109" s="19">
        <v>4.0</v>
      </c>
      <c r="I109" s="27" t="s">
        <v>15</v>
      </c>
      <c r="J109" s="28" t="s">
        <v>16</v>
      </c>
    </row>
    <row r="110" ht="21.75" customHeight="1">
      <c r="A110" s="21"/>
      <c r="B110" s="23"/>
      <c r="C110" s="23" t="s">
        <v>247</v>
      </c>
      <c r="D110" s="24">
        <v>3.0</v>
      </c>
      <c r="E110" s="25">
        <v>5.0</v>
      </c>
      <c r="F110" s="17">
        <v>4.0</v>
      </c>
      <c r="G110" s="24">
        <v>2.0</v>
      </c>
      <c r="H110" s="26">
        <v>5.0</v>
      </c>
      <c r="I110" s="27" t="s">
        <v>15</v>
      </c>
      <c r="J110" s="28" t="s">
        <v>248</v>
      </c>
    </row>
    <row r="111" ht="27.75" customHeight="1">
      <c r="A111" s="9">
        <v>25.0</v>
      </c>
      <c r="B111" s="10" t="s">
        <v>249</v>
      </c>
      <c r="C111" s="11" t="s">
        <v>250</v>
      </c>
      <c r="D111" s="12">
        <v>5.0</v>
      </c>
      <c r="E111" s="13">
        <v>3.0</v>
      </c>
      <c r="F111" s="30">
        <v>5.0</v>
      </c>
      <c r="G111" s="20">
        <v>4.0</v>
      </c>
      <c r="H111" s="26">
        <v>5.0</v>
      </c>
      <c r="I111" s="14" t="s">
        <v>18</v>
      </c>
      <c r="J111" s="15" t="s">
        <v>251</v>
      </c>
    </row>
    <row r="112" ht="21.75" customHeight="1">
      <c r="A112" s="9"/>
      <c r="B112" s="11"/>
      <c r="C112" s="11" t="s">
        <v>252</v>
      </c>
      <c r="D112" s="29">
        <v>4.0</v>
      </c>
      <c r="E112" s="16">
        <v>4.0</v>
      </c>
      <c r="F112" s="17">
        <v>4.0</v>
      </c>
      <c r="G112" s="13">
        <v>3.0</v>
      </c>
      <c r="H112" s="26">
        <v>5.0</v>
      </c>
      <c r="I112" s="14" t="s">
        <v>18</v>
      </c>
      <c r="J112" s="15" t="s">
        <v>253</v>
      </c>
    </row>
    <row r="113" ht="21.75" customHeight="1">
      <c r="A113" s="9"/>
      <c r="B113" s="11"/>
      <c r="C113" s="11" t="s">
        <v>254</v>
      </c>
      <c r="D113" s="13">
        <v>3.0</v>
      </c>
      <c r="E113" s="13">
        <v>3.0</v>
      </c>
      <c r="F113" s="30">
        <v>5.0</v>
      </c>
      <c r="G113" s="18">
        <v>5.0</v>
      </c>
      <c r="H113" s="26">
        <v>5.0</v>
      </c>
      <c r="I113" s="14" t="s">
        <v>18</v>
      </c>
      <c r="J113" s="15" t="s">
        <v>255</v>
      </c>
    </row>
    <row r="114" ht="21.75" customHeight="1">
      <c r="A114" s="9"/>
      <c r="B114" s="11"/>
      <c r="C114" s="11" t="s">
        <v>256</v>
      </c>
      <c r="D114" s="29">
        <v>4.0</v>
      </c>
      <c r="E114" s="13">
        <v>2.0</v>
      </c>
      <c r="F114" s="30">
        <v>5.0</v>
      </c>
      <c r="G114" s="18">
        <v>5.0</v>
      </c>
      <c r="H114" s="19">
        <v>4.0</v>
      </c>
      <c r="I114" s="14" t="s">
        <v>18</v>
      </c>
      <c r="J114" s="15" t="s">
        <v>257</v>
      </c>
    </row>
    <row r="115" ht="21.75" customHeight="1">
      <c r="A115" s="9"/>
      <c r="B115" s="11"/>
      <c r="C115" s="11" t="s">
        <v>258</v>
      </c>
      <c r="D115" s="13">
        <v>3.0</v>
      </c>
      <c r="E115" s="16">
        <v>4.0</v>
      </c>
      <c r="F115" s="13">
        <v>3.0</v>
      </c>
      <c r="G115" s="13">
        <v>3.0</v>
      </c>
      <c r="H115" s="19">
        <v>4.0</v>
      </c>
      <c r="I115" s="14" t="s">
        <v>40</v>
      </c>
      <c r="J115" s="15" t="s">
        <v>259</v>
      </c>
    </row>
  </sheetData>
  <mergeCells count="3">
    <mergeCell ref="A1:J1"/>
    <mergeCell ref="A2:J2"/>
    <mergeCell ref="A4:J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9.38"/>
    <col customWidth="1" min="3" max="7" width="15.75"/>
    <col customWidth="1" min="8" max="11" width="7.63"/>
  </cols>
  <sheetData>
    <row r="1" ht="30.0" customHeight="1">
      <c r="A1" s="31" t="s">
        <v>260</v>
      </c>
      <c r="B1" s="2"/>
      <c r="C1" s="2"/>
      <c r="D1" s="2"/>
      <c r="E1" s="2"/>
      <c r="F1" s="2"/>
      <c r="G1" s="3"/>
    </row>
    <row r="2">
      <c r="A2" s="32" t="s">
        <v>261</v>
      </c>
      <c r="B2" s="2"/>
      <c r="C2" s="2"/>
      <c r="D2" s="2"/>
      <c r="E2" s="2"/>
      <c r="F2" s="2"/>
      <c r="G2" s="3"/>
    </row>
    <row r="3" ht="27.75" customHeight="1">
      <c r="A3" s="33" t="s">
        <v>3</v>
      </c>
      <c r="B3" s="33" t="s">
        <v>262</v>
      </c>
      <c r="C3" s="33" t="s">
        <v>263</v>
      </c>
      <c r="D3" s="33" t="s">
        <v>264</v>
      </c>
      <c r="E3" s="33" t="s">
        <v>265</v>
      </c>
      <c r="F3" s="33" t="s">
        <v>266</v>
      </c>
      <c r="G3" s="33" t="s">
        <v>267</v>
      </c>
    </row>
    <row r="4" ht="19.5" customHeight="1">
      <c r="A4" s="9">
        <v>1.0</v>
      </c>
      <c r="B4" s="34" t="s">
        <v>268</v>
      </c>
      <c r="C4" s="35">
        <v>0.0</v>
      </c>
      <c r="D4" s="35">
        <v>0.0</v>
      </c>
      <c r="E4" s="35">
        <v>0.0</v>
      </c>
      <c r="F4" s="35">
        <v>0.0</v>
      </c>
      <c r="G4" s="35">
        <v>0.0</v>
      </c>
    </row>
    <row r="5" ht="19.5" customHeight="1">
      <c r="A5" s="21">
        <v>2.0</v>
      </c>
      <c r="B5" s="36" t="s">
        <v>268</v>
      </c>
      <c r="C5" s="35">
        <v>0.0</v>
      </c>
      <c r="D5" s="35">
        <v>0.0</v>
      </c>
      <c r="E5" s="35">
        <v>0.0</v>
      </c>
      <c r="F5" s="35">
        <v>0.0</v>
      </c>
      <c r="G5" s="35">
        <v>0.0</v>
      </c>
    </row>
    <row r="6" ht="19.5" customHeight="1">
      <c r="A6" s="9">
        <v>3.0</v>
      </c>
      <c r="B6" s="34" t="s">
        <v>268</v>
      </c>
      <c r="C6" s="35">
        <v>0.0</v>
      </c>
      <c r="D6" s="35">
        <v>0.0</v>
      </c>
      <c r="E6" s="35">
        <v>0.0</v>
      </c>
      <c r="F6" s="35">
        <v>0.0</v>
      </c>
      <c r="G6" s="35">
        <v>0.0</v>
      </c>
    </row>
    <row r="7" ht="19.5" customHeight="1">
      <c r="A7" s="21">
        <v>4.0</v>
      </c>
      <c r="B7" s="36" t="s">
        <v>268</v>
      </c>
      <c r="C7" s="35">
        <v>0.0</v>
      </c>
      <c r="D7" s="35">
        <v>0.0</v>
      </c>
      <c r="E7" s="35">
        <v>0.0</v>
      </c>
      <c r="F7" s="35">
        <v>0.0</v>
      </c>
      <c r="G7" s="35">
        <v>0.0</v>
      </c>
    </row>
    <row r="8" ht="19.5" customHeight="1">
      <c r="A8" s="9">
        <v>5.0</v>
      </c>
      <c r="B8" s="34" t="s">
        <v>268</v>
      </c>
      <c r="C8" s="35">
        <v>0.0</v>
      </c>
      <c r="D8" s="35">
        <v>0.0</v>
      </c>
      <c r="E8" s="35">
        <v>0.0</v>
      </c>
      <c r="F8" s="35">
        <v>0.0</v>
      </c>
      <c r="G8" s="35">
        <v>0.0</v>
      </c>
    </row>
    <row r="9" ht="19.5" customHeight="1">
      <c r="A9" s="21">
        <v>6.0</v>
      </c>
      <c r="B9" s="36" t="s">
        <v>268</v>
      </c>
      <c r="C9" s="35">
        <v>0.0</v>
      </c>
      <c r="D9" s="35">
        <v>0.0</v>
      </c>
      <c r="E9" s="35">
        <v>0.0</v>
      </c>
      <c r="F9" s="35">
        <v>0.0</v>
      </c>
      <c r="G9" s="35">
        <v>0.0</v>
      </c>
    </row>
    <row r="10" ht="19.5" customHeight="1">
      <c r="A10" s="9">
        <v>7.0</v>
      </c>
      <c r="B10" s="34" t="s">
        <v>268</v>
      </c>
      <c r="C10" s="35">
        <v>0.0</v>
      </c>
      <c r="D10" s="35">
        <v>0.0</v>
      </c>
      <c r="E10" s="35">
        <v>0.0</v>
      </c>
      <c r="F10" s="35">
        <v>0.0</v>
      </c>
      <c r="G10" s="35">
        <v>0.0</v>
      </c>
    </row>
    <row r="11" ht="19.5" customHeight="1">
      <c r="A11" s="21">
        <v>8.0</v>
      </c>
      <c r="B11" s="36" t="s">
        <v>268</v>
      </c>
      <c r="C11" s="35">
        <v>0.0</v>
      </c>
      <c r="D11" s="35">
        <v>0.0</v>
      </c>
      <c r="E11" s="35">
        <v>0.0</v>
      </c>
      <c r="F11" s="35">
        <v>0.0</v>
      </c>
      <c r="G11" s="35">
        <v>0.0</v>
      </c>
    </row>
    <row r="12" ht="19.5" customHeight="1">
      <c r="A12" s="9">
        <v>9.0</v>
      </c>
      <c r="B12" s="34" t="s">
        <v>268</v>
      </c>
      <c r="C12" s="35">
        <v>0.0</v>
      </c>
      <c r="D12" s="35">
        <v>0.0</v>
      </c>
      <c r="E12" s="35">
        <v>0.0</v>
      </c>
      <c r="F12" s="35">
        <v>0.0</v>
      </c>
      <c r="G12" s="35">
        <v>0.0</v>
      </c>
    </row>
    <row r="13" ht="19.5" customHeight="1">
      <c r="A13" s="21">
        <v>10.0</v>
      </c>
      <c r="B13" s="36" t="s">
        <v>268</v>
      </c>
      <c r="C13" s="35">
        <v>0.0</v>
      </c>
      <c r="D13" s="35">
        <v>0.0</v>
      </c>
      <c r="E13" s="35">
        <v>0.0</v>
      </c>
      <c r="F13" s="35">
        <v>0.0</v>
      </c>
      <c r="G13" s="35">
        <v>0.0</v>
      </c>
    </row>
    <row r="14" ht="19.5" customHeight="1">
      <c r="A14" s="9">
        <v>11.0</v>
      </c>
      <c r="B14" s="34" t="s">
        <v>268</v>
      </c>
      <c r="C14" s="35">
        <v>0.0</v>
      </c>
      <c r="D14" s="35">
        <v>0.0</v>
      </c>
      <c r="E14" s="35">
        <v>0.0</v>
      </c>
      <c r="F14" s="35">
        <v>0.0</v>
      </c>
      <c r="G14" s="35">
        <v>0.0</v>
      </c>
    </row>
    <row r="15" ht="19.5" customHeight="1">
      <c r="A15" s="21">
        <v>12.0</v>
      </c>
      <c r="B15" s="36" t="s">
        <v>268</v>
      </c>
      <c r="C15" s="35">
        <v>0.0</v>
      </c>
      <c r="D15" s="35">
        <v>0.0</v>
      </c>
      <c r="E15" s="35">
        <v>0.0</v>
      </c>
      <c r="F15" s="35">
        <v>0.0</v>
      </c>
      <c r="G15" s="35">
        <v>0.0</v>
      </c>
    </row>
    <row r="16" ht="19.5" customHeight="1">
      <c r="A16" s="9">
        <v>13.0</v>
      </c>
      <c r="B16" s="34" t="s">
        <v>268</v>
      </c>
      <c r="C16" s="35">
        <v>0.0</v>
      </c>
      <c r="D16" s="35">
        <v>0.0</v>
      </c>
      <c r="E16" s="35">
        <v>0.0</v>
      </c>
      <c r="F16" s="35">
        <v>0.0</v>
      </c>
      <c r="G16" s="35">
        <v>0.0</v>
      </c>
    </row>
    <row r="17" ht="19.5" customHeight="1">
      <c r="A17" s="21">
        <v>14.0</v>
      </c>
      <c r="B17" s="36" t="s">
        <v>268</v>
      </c>
      <c r="C17" s="35">
        <v>0.0</v>
      </c>
      <c r="D17" s="35">
        <v>0.0</v>
      </c>
      <c r="E17" s="35">
        <v>0.0</v>
      </c>
      <c r="F17" s="35">
        <v>0.0</v>
      </c>
      <c r="G17" s="35">
        <v>0.0</v>
      </c>
    </row>
    <row r="18" ht="19.5" customHeight="1">
      <c r="A18" s="9">
        <v>15.0</v>
      </c>
      <c r="B18" s="34" t="s">
        <v>268</v>
      </c>
      <c r="C18" s="35">
        <v>0.0</v>
      </c>
      <c r="D18" s="35">
        <v>0.0</v>
      </c>
      <c r="E18" s="35">
        <v>0.0</v>
      </c>
      <c r="F18" s="35">
        <v>0.0</v>
      </c>
      <c r="G18" s="35">
        <v>0.0</v>
      </c>
    </row>
    <row r="19" ht="19.5" customHeight="1">
      <c r="A19" s="21">
        <v>16.0</v>
      </c>
      <c r="B19" s="36" t="s">
        <v>268</v>
      </c>
      <c r="C19" s="35">
        <v>0.0</v>
      </c>
      <c r="D19" s="35">
        <v>0.0</v>
      </c>
      <c r="E19" s="35">
        <v>0.0</v>
      </c>
      <c r="F19" s="35">
        <v>0.0</v>
      </c>
      <c r="G19" s="35">
        <v>0.0</v>
      </c>
    </row>
    <row r="20" ht="19.5" customHeight="1">
      <c r="A20" s="9">
        <v>17.0</v>
      </c>
      <c r="B20" s="34" t="s">
        <v>268</v>
      </c>
      <c r="C20" s="35">
        <v>0.0</v>
      </c>
      <c r="D20" s="35">
        <v>0.0</v>
      </c>
      <c r="E20" s="35">
        <v>0.0</v>
      </c>
      <c r="F20" s="35">
        <v>0.0</v>
      </c>
      <c r="G20" s="35">
        <v>0.0</v>
      </c>
    </row>
    <row r="21" ht="19.5" customHeight="1">
      <c r="A21" s="21">
        <v>18.0</v>
      </c>
      <c r="B21" s="36" t="s">
        <v>268</v>
      </c>
      <c r="C21" s="35">
        <v>0.0</v>
      </c>
      <c r="D21" s="35">
        <v>0.0</v>
      </c>
      <c r="E21" s="35">
        <v>0.0</v>
      </c>
      <c r="F21" s="35">
        <v>0.0</v>
      </c>
      <c r="G21" s="35">
        <v>0.0</v>
      </c>
    </row>
    <row r="22" ht="19.5" customHeight="1">
      <c r="A22" s="9">
        <v>19.0</v>
      </c>
      <c r="B22" s="34" t="s">
        <v>268</v>
      </c>
      <c r="C22" s="35">
        <v>0.0</v>
      </c>
      <c r="D22" s="35">
        <v>0.0</v>
      </c>
      <c r="E22" s="35">
        <v>0.0</v>
      </c>
      <c r="F22" s="35">
        <v>0.0</v>
      </c>
      <c r="G22" s="35">
        <v>0.0</v>
      </c>
    </row>
    <row r="23" ht="19.5" customHeight="1">
      <c r="A23" s="21">
        <v>20.0</v>
      </c>
      <c r="B23" s="36" t="s">
        <v>268</v>
      </c>
      <c r="C23" s="35">
        <v>0.0</v>
      </c>
      <c r="D23" s="35">
        <v>0.0</v>
      </c>
      <c r="E23" s="35">
        <v>0.0</v>
      </c>
      <c r="F23" s="35">
        <v>0.0</v>
      </c>
      <c r="G23" s="35">
        <v>0.0</v>
      </c>
    </row>
    <row r="24" ht="19.5" customHeight="1">
      <c r="A24" s="9">
        <v>21.0</v>
      </c>
      <c r="B24" s="34" t="s">
        <v>268</v>
      </c>
      <c r="C24" s="35">
        <v>0.0</v>
      </c>
      <c r="D24" s="35">
        <v>0.0</v>
      </c>
      <c r="E24" s="35">
        <v>0.0</v>
      </c>
      <c r="F24" s="35">
        <v>0.0</v>
      </c>
      <c r="G24" s="35">
        <v>0.0</v>
      </c>
    </row>
    <row r="25" ht="19.5" customHeight="1">
      <c r="A25" s="21">
        <v>22.0</v>
      </c>
      <c r="B25" s="36" t="s">
        <v>268</v>
      </c>
      <c r="C25" s="35">
        <v>0.0</v>
      </c>
      <c r="D25" s="35">
        <v>0.0</v>
      </c>
      <c r="E25" s="35">
        <v>0.0</v>
      </c>
      <c r="F25" s="35">
        <v>0.0</v>
      </c>
      <c r="G25" s="35">
        <v>0.0</v>
      </c>
    </row>
    <row r="26" ht="19.5" customHeight="1">
      <c r="A26" s="9">
        <v>23.0</v>
      </c>
      <c r="B26" s="34" t="s">
        <v>268</v>
      </c>
      <c r="C26" s="35">
        <v>0.0</v>
      </c>
      <c r="D26" s="35">
        <v>0.0</v>
      </c>
      <c r="E26" s="35">
        <v>0.0</v>
      </c>
      <c r="F26" s="35">
        <v>0.0</v>
      </c>
      <c r="G26" s="35">
        <v>0.0</v>
      </c>
    </row>
    <row r="27" ht="19.5" customHeight="1">
      <c r="A27" s="21">
        <v>24.0</v>
      </c>
      <c r="B27" s="36" t="s">
        <v>268</v>
      </c>
      <c r="C27" s="35">
        <v>0.0</v>
      </c>
      <c r="D27" s="35">
        <v>0.0</v>
      </c>
      <c r="E27" s="35">
        <v>0.0</v>
      </c>
      <c r="F27" s="35">
        <v>0.0</v>
      </c>
      <c r="G27" s="35">
        <v>0.0</v>
      </c>
    </row>
    <row r="28" ht="19.5" customHeight="1">
      <c r="A28" s="9">
        <v>25.0</v>
      </c>
      <c r="B28" s="34" t="s">
        <v>268</v>
      </c>
      <c r="C28" s="35">
        <v>0.0</v>
      </c>
      <c r="D28" s="35">
        <v>0.0</v>
      </c>
      <c r="E28" s="35">
        <v>0.0</v>
      </c>
      <c r="F28" s="35">
        <v>0.0</v>
      </c>
      <c r="G28" s="35">
        <v>0.0</v>
      </c>
    </row>
    <row r="29" ht="15.75" customHeight="1">
      <c r="A29" s="37" t="s">
        <v>269</v>
      </c>
      <c r="B29" s="6" t="s">
        <v>270</v>
      </c>
      <c r="C29" s="38" t="str">
        <f t="shared" ref="C29:G29" si="1">SUM(C4:C28)</f>
        <v>0</v>
      </c>
      <c r="D29" s="38" t="str">
        <f t="shared" si="1"/>
        <v>0</v>
      </c>
      <c r="E29" s="38" t="str">
        <f t="shared" si="1"/>
        <v>0</v>
      </c>
      <c r="F29" s="38" t="str">
        <f t="shared" si="1"/>
        <v>0</v>
      </c>
      <c r="G29" s="38" t="str">
        <f t="shared" si="1"/>
        <v>0</v>
      </c>
    </row>
    <row r="30" ht="15.75" customHeight="1">
      <c r="A30" s="39" t="s">
        <v>271</v>
      </c>
      <c r="B30" s="40" t="s">
        <v>272</v>
      </c>
      <c r="C30" s="41" t="str">
        <f t="shared" ref="C30:G30" si="2">ROUND(C29/125*100,1)</f>
        <v>0.0%</v>
      </c>
      <c r="D30" s="41" t="str">
        <f t="shared" si="2"/>
        <v>0.0%</v>
      </c>
      <c r="E30" s="41" t="str">
        <f t="shared" si="2"/>
        <v>0.0%</v>
      </c>
      <c r="F30" s="41" t="str">
        <f t="shared" si="2"/>
        <v>0.0%</v>
      </c>
      <c r="G30" s="41" t="str">
        <f t="shared" si="2"/>
        <v>0.0%</v>
      </c>
    </row>
    <row r="31" ht="15.75" customHeight="1"/>
    <row r="32" ht="15.75" customHeight="1">
      <c r="A32" s="42" t="s">
        <v>273</v>
      </c>
      <c r="B32" s="2"/>
      <c r="C32" s="2"/>
      <c r="D32" s="2"/>
      <c r="E32" s="2"/>
      <c r="F32" s="2"/>
      <c r="G32" s="3"/>
    </row>
    <row r="33" ht="15.75" customHeight="1">
      <c r="A33" s="43" t="s">
        <v>274</v>
      </c>
      <c r="C33" s="44" t="str">
        <f>(C30*0.25 + D30*0.2 + E30*0.25 + F30*0.2 + G30*0.1)</f>
        <v>0</v>
      </c>
      <c r="D33" s="45"/>
      <c r="E33" s="45"/>
      <c r="F33" s="45"/>
      <c r="G33" s="45"/>
    </row>
    <row r="34" ht="15.75" customHeight="1">
      <c r="A34" s="46" t="s">
        <v>275</v>
      </c>
      <c r="C34" s="47" t="str">
        <f>ROUND(C30*0.25 + D30*0.2 + E30*0.25 + F30*0.2 + G30*0.1, 1)</f>
        <v>0</v>
      </c>
      <c r="D34" s="45"/>
      <c r="E34" s="45"/>
      <c r="F34" s="45"/>
      <c r="G34" s="48"/>
    </row>
    <row r="35" ht="15.75" customHeight="1">
      <c r="A35" s="49" t="s">
        <v>276</v>
      </c>
    </row>
    <row r="36" ht="15.75" customHeight="1">
      <c r="A36" s="50" t="s">
        <v>277</v>
      </c>
    </row>
    <row r="37" ht="15.75" customHeight="1">
      <c r="A37" s="46" t="s">
        <v>278</v>
      </c>
      <c r="C37" s="51" t="str">
        <f>IF(E30&lt;50, ROUND(C34*0.85,1), C34)</f>
        <v>0</v>
      </c>
      <c r="D37" s="45"/>
      <c r="E37" s="45"/>
      <c r="F37" s="45"/>
      <c r="G37" s="4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A35:G35"/>
    <mergeCell ref="A36:G36"/>
    <mergeCell ref="A37:B37"/>
    <mergeCell ref="C37:G37"/>
    <mergeCell ref="A1:G1"/>
    <mergeCell ref="A2:G2"/>
    <mergeCell ref="A32:G32"/>
    <mergeCell ref="A33:B33"/>
    <mergeCell ref="C33:G33"/>
    <mergeCell ref="A34:B34"/>
    <mergeCell ref="C34:G3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8.0"/>
    <col customWidth="1" min="3" max="3" width="14.0"/>
    <col customWidth="1" min="4" max="8" width="7.0"/>
    <col customWidth="1" min="9" max="12" width="10.5"/>
    <col customWidth="1" min="13" max="13" width="12.25"/>
    <col customWidth="1" min="14" max="14" width="14.0"/>
  </cols>
  <sheetData>
    <row r="1" ht="30.0" customHeight="1">
      <c r="A1" s="3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32" t="s">
        <v>280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7.75" customHeight="1">
      <c r="A3" s="33" t="s">
        <v>281</v>
      </c>
      <c r="B3" s="33" t="s">
        <v>282</v>
      </c>
      <c r="C3" s="33" t="s">
        <v>283</v>
      </c>
      <c r="D3" s="33" t="s">
        <v>284</v>
      </c>
      <c r="E3" s="33" t="s">
        <v>285</v>
      </c>
      <c r="F3" s="33" t="s">
        <v>286</v>
      </c>
      <c r="G3" s="33" t="s">
        <v>287</v>
      </c>
      <c r="H3" s="33" t="s">
        <v>288</v>
      </c>
      <c r="I3" s="33" t="s">
        <v>289</v>
      </c>
      <c r="J3" s="33" t="s">
        <v>290</v>
      </c>
      <c r="K3" s="33" t="s">
        <v>291</v>
      </c>
      <c r="L3" s="33" t="s">
        <v>292</v>
      </c>
      <c r="M3" s="33" t="s">
        <v>293</v>
      </c>
      <c r="N3" s="33" t="s">
        <v>294</v>
      </c>
    </row>
    <row r="4" ht="19.5" customHeight="1">
      <c r="A4" s="52">
        <v>1.0</v>
      </c>
      <c r="B4" s="53" t="s">
        <v>295</v>
      </c>
      <c r="C4" s="54" t="s">
        <v>296</v>
      </c>
      <c r="D4" s="52">
        <v>85.0</v>
      </c>
      <c r="E4" s="52">
        <v>75.0</v>
      </c>
      <c r="F4" s="52">
        <v>80.0</v>
      </c>
      <c r="G4" s="52">
        <v>70.0</v>
      </c>
      <c r="H4" s="52">
        <v>80.0</v>
      </c>
      <c r="I4" s="52" t="str">
        <f>ABS('Student Calculator'!C30-D4)</f>
        <v>85</v>
      </c>
      <c r="J4" s="52" t="str">
        <f>ABS('Student Calculator'!D30-E4)</f>
        <v>75</v>
      </c>
      <c r="K4" s="52" t="str">
        <f>ABS('Student Calculator'!E30-F4)</f>
        <v>80</v>
      </c>
      <c r="L4" s="52" t="str">
        <f>ABS('Student Calculator'!F30-G4)</f>
        <v>70</v>
      </c>
      <c r="M4" s="55" t="str">
        <f t="shared" ref="M4:M130" si="1">ROUND(MAX(0, 100 - (I4*0.25 + J4*0.2 + K4*0.25 + L4*0.2)), 1)</f>
        <v>29.8</v>
      </c>
      <c r="N4" s="56" t="str">
        <f t="shared" ref="N4:N130" si="2">IF(M4&gt;=72,"🟢 BEST FIT",IF(M4&gt;=52,"🟡 CONSIDER","🔴 MISMATCH"))</f>
        <v>🔴 MISMATCH</v>
      </c>
    </row>
    <row r="5" ht="19.5" customHeight="1">
      <c r="A5" s="57">
        <v>2.0</v>
      </c>
      <c r="B5" s="58" t="s">
        <v>297</v>
      </c>
      <c r="C5" s="59" t="s">
        <v>296</v>
      </c>
      <c r="D5" s="57">
        <v>85.0</v>
      </c>
      <c r="E5" s="57">
        <v>80.0</v>
      </c>
      <c r="F5" s="57">
        <v>75.0</v>
      </c>
      <c r="G5" s="57">
        <v>75.0</v>
      </c>
      <c r="H5" s="57">
        <v>80.0</v>
      </c>
      <c r="I5" s="57" t="str">
        <f>ABS('Student Calculator'!C30-D5)</f>
        <v>85</v>
      </c>
      <c r="J5" s="57" t="str">
        <f>ABS('Student Calculator'!D30-E5)</f>
        <v>80</v>
      </c>
      <c r="K5" s="57" t="str">
        <f>ABS('Student Calculator'!E30-F5)</f>
        <v>75</v>
      </c>
      <c r="L5" s="57" t="str">
        <f>ABS('Student Calculator'!F30-G5)</f>
        <v>75</v>
      </c>
      <c r="M5" s="60" t="str">
        <f t="shared" si="1"/>
        <v>29</v>
      </c>
      <c r="N5" s="61" t="str">
        <f t="shared" si="2"/>
        <v>🔴 MISMATCH</v>
      </c>
    </row>
    <row r="6" ht="19.5" customHeight="1">
      <c r="A6" s="52">
        <v>3.0</v>
      </c>
      <c r="B6" s="53" t="s">
        <v>298</v>
      </c>
      <c r="C6" s="54" t="s">
        <v>296</v>
      </c>
      <c r="D6" s="52">
        <v>80.0</v>
      </c>
      <c r="E6" s="52">
        <v>75.0</v>
      </c>
      <c r="F6" s="52">
        <v>75.0</v>
      </c>
      <c r="G6" s="52">
        <v>70.0</v>
      </c>
      <c r="H6" s="52">
        <v>75.0</v>
      </c>
      <c r="I6" s="52" t="str">
        <f>ABS('Student Calculator'!C30-D6)</f>
        <v>80</v>
      </c>
      <c r="J6" s="52" t="str">
        <f>ABS('Student Calculator'!D30-E6)</f>
        <v>75</v>
      </c>
      <c r="K6" s="52" t="str">
        <f>ABS('Student Calculator'!E30-F6)</f>
        <v>75</v>
      </c>
      <c r="L6" s="52" t="str">
        <f>ABS('Student Calculator'!F30-G6)</f>
        <v>70</v>
      </c>
      <c r="M6" s="55" t="str">
        <f t="shared" si="1"/>
        <v>32.3</v>
      </c>
      <c r="N6" s="56" t="str">
        <f t="shared" si="2"/>
        <v>🔴 MISMATCH</v>
      </c>
    </row>
    <row r="7" ht="19.5" customHeight="1">
      <c r="A7" s="57">
        <v>4.0</v>
      </c>
      <c r="B7" s="58" t="s">
        <v>299</v>
      </c>
      <c r="C7" s="59" t="s">
        <v>296</v>
      </c>
      <c r="D7" s="57">
        <v>70.0</v>
      </c>
      <c r="E7" s="57">
        <v>80.0</v>
      </c>
      <c r="F7" s="57">
        <v>70.0</v>
      </c>
      <c r="G7" s="57">
        <v>65.0</v>
      </c>
      <c r="H7" s="57">
        <v>75.0</v>
      </c>
      <c r="I7" s="57" t="str">
        <f>ABS('Student Calculator'!C30-D7)</f>
        <v>70</v>
      </c>
      <c r="J7" s="57" t="str">
        <f>ABS('Student Calculator'!D30-E7)</f>
        <v>80</v>
      </c>
      <c r="K7" s="57" t="str">
        <f>ABS('Student Calculator'!E30-F7)</f>
        <v>70</v>
      </c>
      <c r="L7" s="57" t="str">
        <f>ABS('Student Calculator'!F30-G7)</f>
        <v>65</v>
      </c>
      <c r="M7" s="60" t="str">
        <f t="shared" si="1"/>
        <v>36</v>
      </c>
      <c r="N7" s="61" t="str">
        <f t="shared" si="2"/>
        <v>🔴 MISMATCH</v>
      </c>
    </row>
    <row r="8" ht="19.5" customHeight="1">
      <c r="A8" s="52">
        <v>5.0</v>
      </c>
      <c r="B8" s="53" t="s">
        <v>300</v>
      </c>
      <c r="C8" s="54" t="s">
        <v>301</v>
      </c>
      <c r="D8" s="52">
        <v>60.0</v>
      </c>
      <c r="E8" s="52">
        <v>90.0</v>
      </c>
      <c r="F8" s="52">
        <v>80.0</v>
      </c>
      <c r="G8" s="52">
        <v>65.0</v>
      </c>
      <c r="H8" s="52">
        <v>80.0</v>
      </c>
      <c r="I8" s="52" t="str">
        <f>ABS('Student Calculator'!C30-D8)</f>
        <v>60</v>
      </c>
      <c r="J8" s="52" t="str">
        <f>ABS('Student Calculator'!D30-E8)</f>
        <v>90</v>
      </c>
      <c r="K8" s="52" t="str">
        <f>ABS('Student Calculator'!E30-F8)</f>
        <v>80</v>
      </c>
      <c r="L8" s="52" t="str">
        <f>ABS('Student Calculator'!F30-G8)</f>
        <v>65</v>
      </c>
      <c r="M8" s="55" t="str">
        <f t="shared" si="1"/>
        <v>34</v>
      </c>
      <c r="N8" s="56" t="str">
        <f t="shared" si="2"/>
        <v>🔴 MISMATCH</v>
      </c>
    </row>
    <row r="9" ht="19.5" customHeight="1">
      <c r="A9" s="57">
        <v>6.0</v>
      </c>
      <c r="B9" s="58" t="s">
        <v>302</v>
      </c>
      <c r="C9" s="59" t="s">
        <v>301</v>
      </c>
      <c r="D9" s="57">
        <v>55.0</v>
      </c>
      <c r="E9" s="57">
        <v>90.0</v>
      </c>
      <c r="F9" s="57">
        <v>80.0</v>
      </c>
      <c r="G9" s="57">
        <v>60.0</v>
      </c>
      <c r="H9" s="57">
        <v>80.0</v>
      </c>
      <c r="I9" s="57" t="str">
        <f>ABS('Student Calculator'!C30-D9)</f>
        <v>55</v>
      </c>
      <c r="J9" s="57" t="str">
        <f>ABS('Student Calculator'!D30-E9)</f>
        <v>90</v>
      </c>
      <c r="K9" s="57" t="str">
        <f>ABS('Student Calculator'!E30-F9)</f>
        <v>80</v>
      </c>
      <c r="L9" s="57" t="str">
        <f>ABS('Student Calculator'!F30-G9)</f>
        <v>60</v>
      </c>
      <c r="M9" s="60" t="str">
        <f t="shared" si="1"/>
        <v>36.3</v>
      </c>
      <c r="N9" s="61" t="str">
        <f t="shared" si="2"/>
        <v>🔴 MISMATCH</v>
      </c>
    </row>
    <row r="10" ht="19.5" customHeight="1">
      <c r="A10" s="52">
        <v>7.0</v>
      </c>
      <c r="B10" s="53" t="s">
        <v>303</v>
      </c>
      <c r="C10" s="54" t="s">
        <v>301</v>
      </c>
      <c r="D10" s="52">
        <v>55.0</v>
      </c>
      <c r="E10" s="52">
        <v>85.0</v>
      </c>
      <c r="F10" s="52">
        <v>80.0</v>
      </c>
      <c r="G10" s="52">
        <v>60.0</v>
      </c>
      <c r="H10" s="52">
        <v>75.0</v>
      </c>
      <c r="I10" s="52" t="str">
        <f>ABS('Student Calculator'!C30-D10)</f>
        <v>55</v>
      </c>
      <c r="J10" s="52" t="str">
        <f>ABS('Student Calculator'!D30-E10)</f>
        <v>85</v>
      </c>
      <c r="K10" s="52" t="str">
        <f>ABS('Student Calculator'!E30-F10)</f>
        <v>80</v>
      </c>
      <c r="L10" s="52" t="str">
        <f>ABS('Student Calculator'!F30-G10)</f>
        <v>60</v>
      </c>
      <c r="M10" s="55" t="str">
        <f t="shared" si="1"/>
        <v>37.3</v>
      </c>
      <c r="N10" s="56" t="str">
        <f t="shared" si="2"/>
        <v>🔴 MISMATCH</v>
      </c>
    </row>
    <row r="11" ht="19.5" customHeight="1">
      <c r="A11" s="57">
        <v>8.0</v>
      </c>
      <c r="B11" s="58" t="s">
        <v>304</v>
      </c>
      <c r="C11" s="59" t="s">
        <v>301</v>
      </c>
      <c r="D11" s="57">
        <v>55.0</v>
      </c>
      <c r="E11" s="57">
        <v>85.0</v>
      </c>
      <c r="F11" s="57">
        <v>80.0</v>
      </c>
      <c r="G11" s="57">
        <v>60.0</v>
      </c>
      <c r="H11" s="57">
        <v>75.0</v>
      </c>
      <c r="I11" s="57" t="str">
        <f>ABS('Student Calculator'!C30-D11)</f>
        <v>55</v>
      </c>
      <c r="J11" s="57" t="str">
        <f>ABS('Student Calculator'!D30-E11)</f>
        <v>85</v>
      </c>
      <c r="K11" s="57" t="str">
        <f>ABS('Student Calculator'!E30-F11)</f>
        <v>80</v>
      </c>
      <c r="L11" s="57" t="str">
        <f>ABS('Student Calculator'!F30-G11)</f>
        <v>60</v>
      </c>
      <c r="M11" s="60" t="str">
        <f t="shared" si="1"/>
        <v>37.3</v>
      </c>
      <c r="N11" s="61" t="str">
        <f t="shared" si="2"/>
        <v>🔴 MISMATCH</v>
      </c>
    </row>
    <row r="12" ht="19.5" customHeight="1">
      <c r="A12" s="52">
        <v>9.0</v>
      </c>
      <c r="B12" s="53" t="s">
        <v>305</v>
      </c>
      <c r="C12" s="54" t="s">
        <v>301</v>
      </c>
      <c r="D12" s="52">
        <v>55.0</v>
      </c>
      <c r="E12" s="52">
        <v>90.0</v>
      </c>
      <c r="F12" s="52">
        <v>85.0</v>
      </c>
      <c r="G12" s="52">
        <v>60.0</v>
      </c>
      <c r="H12" s="52">
        <v>80.0</v>
      </c>
      <c r="I12" s="52" t="str">
        <f>ABS('Student Calculator'!C30-D12)</f>
        <v>55</v>
      </c>
      <c r="J12" s="52" t="str">
        <f>ABS('Student Calculator'!D30-E12)</f>
        <v>90</v>
      </c>
      <c r="K12" s="52" t="str">
        <f>ABS('Student Calculator'!E30-F12)</f>
        <v>85</v>
      </c>
      <c r="L12" s="52" t="str">
        <f>ABS('Student Calculator'!F30-G12)</f>
        <v>60</v>
      </c>
      <c r="M12" s="55" t="str">
        <f t="shared" si="1"/>
        <v>35</v>
      </c>
      <c r="N12" s="56" t="str">
        <f t="shared" si="2"/>
        <v>🔴 MISMATCH</v>
      </c>
    </row>
    <row r="13" ht="19.5" customHeight="1">
      <c r="A13" s="57">
        <v>10.0</v>
      </c>
      <c r="B13" s="58" t="s">
        <v>306</v>
      </c>
      <c r="C13" s="59" t="s">
        <v>307</v>
      </c>
      <c r="D13" s="57">
        <v>45.0</v>
      </c>
      <c r="E13" s="57">
        <v>70.0</v>
      </c>
      <c r="F13" s="57">
        <v>85.0</v>
      </c>
      <c r="G13" s="57">
        <v>75.0</v>
      </c>
      <c r="H13" s="57">
        <v>80.0</v>
      </c>
      <c r="I13" s="57" t="str">
        <f>ABS('Student Calculator'!C30-D13)</f>
        <v>45</v>
      </c>
      <c r="J13" s="57" t="str">
        <f>ABS('Student Calculator'!D30-E13)</f>
        <v>70</v>
      </c>
      <c r="K13" s="57" t="str">
        <f>ABS('Student Calculator'!E30-F13)</f>
        <v>85</v>
      </c>
      <c r="L13" s="57" t="str">
        <f>ABS('Student Calculator'!F30-G13)</f>
        <v>75</v>
      </c>
      <c r="M13" s="60" t="str">
        <f t="shared" si="1"/>
        <v>38.5</v>
      </c>
      <c r="N13" s="61" t="str">
        <f t="shared" si="2"/>
        <v>🔴 MISMATCH</v>
      </c>
    </row>
    <row r="14" ht="19.5" customHeight="1">
      <c r="A14" s="52">
        <v>11.0</v>
      </c>
      <c r="B14" s="53" t="s">
        <v>308</v>
      </c>
      <c r="C14" s="54" t="s">
        <v>307</v>
      </c>
      <c r="D14" s="52">
        <v>50.0</v>
      </c>
      <c r="E14" s="52">
        <v>75.0</v>
      </c>
      <c r="F14" s="52">
        <v>85.0</v>
      </c>
      <c r="G14" s="52">
        <v>70.0</v>
      </c>
      <c r="H14" s="52">
        <v>80.0</v>
      </c>
      <c r="I14" s="52" t="str">
        <f>ABS('Student Calculator'!C30-D14)</f>
        <v>50</v>
      </c>
      <c r="J14" s="52" t="str">
        <f>ABS('Student Calculator'!D30-E14)</f>
        <v>75</v>
      </c>
      <c r="K14" s="52" t="str">
        <f>ABS('Student Calculator'!E30-F14)</f>
        <v>85</v>
      </c>
      <c r="L14" s="52" t="str">
        <f>ABS('Student Calculator'!F30-G14)</f>
        <v>70</v>
      </c>
      <c r="M14" s="55" t="str">
        <f t="shared" si="1"/>
        <v>37.3</v>
      </c>
      <c r="N14" s="56" t="str">
        <f t="shared" si="2"/>
        <v>🔴 MISMATCH</v>
      </c>
    </row>
    <row r="15" ht="19.5" customHeight="1">
      <c r="A15" s="57">
        <v>12.0</v>
      </c>
      <c r="B15" s="58" t="s">
        <v>309</v>
      </c>
      <c r="C15" s="59" t="s">
        <v>296</v>
      </c>
      <c r="D15" s="57">
        <v>80.0</v>
      </c>
      <c r="E15" s="57">
        <v>65.0</v>
      </c>
      <c r="F15" s="57">
        <v>75.0</v>
      </c>
      <c r="G15" s="57">
        <v>75.0</v>
      </c>
      <c r="H15" s="57">
        <v>70.0</v>
      </c>
      <c r="I15" s="57" t="str">
        <f>ABS('Student Calculator'!C30-D15)</f>
        <v>80</v>
      </c>
      <c r="J15" s="57" t="str">
        <f>ABS('Student Calculator'!D30-E15)</f>
        <v>65</v>
      </c>
      <c r="K15" s="57" t="str">
        <f>ABS('Student Calculator'!E30-F15)</f>
        <v>75</v>
      </c>
      <c r="L15" s="57" t="str">
        <f>ABS('Student Calculator'!F30-G15)</f>
        <v>75</v>
      </c>
      <c r="M15" s="60" t="str">
        <f t="shared" si="1"/>
        <v>33.3</v>
      </c>
      <c r="N15" s="61" t="str">
        <f t="shared" si="2"/>
        <v>🔴 MISMATCH</v>
      </c>
    </row>
    <row r="16" ht="19.5" customHeight="1">
      <c r="A16" s="52">
        <v>13.0</v>
      </c>
      <c r="B16" s="53" t="s">
        <v>310</v>
      </c>
      <c r="C16" s="54" t="s">
        <v>296</v>
      </c>
      <c r="D16" s="52">
        <v>75.0</v>
      </c>
      <c r="E16" s="52">
        <v>65.0</v>
      </c>
      <c r="F16" s="52">
        <v>75.0</v>
      </c>
      <c r="G16" s="52">
        <v>75.0</v>
      </c>
      <c r="H16" s="52">
        <v>70.0</v>
      </c>
      <c r="I16" s="52" t="str">
        <f>ABS('Student Calculator'!C30-D16)</f>
        <v>75</v>
      </c>
      <c r="J16" s="52" t="str">
        <f>ABS('Student Calculator'!D30-E16)</f>
        <v>65</v>
      </c>
      <c r="K16" s="52" t="str">
        <f>ABS('Student Calculator'!E30-F16)</f>
        <v>75</v>
      </c>
      <c r="L16" s="52" t="str">
        <f>ABS('Student Calculator'!F30-G16)</f>
        <v>75</v>
      </c>
      <c r="M16" s="55" t="str">
        <f t="shared" si="1"/>
        <v>34.5</v>
      </c>
      <c r="N16" s="56" t="str">
        <f t="shared" si="2"/>
        <v>🔴 MISMATCH</v>
      </c>
    </row>
    <row r="17" ht="19.5" customHeight="1">
      <c r="A17" s="57">
        <v>14.0</v>
      </c>
      <c r="B17" s="58" t="s">
        <v>311</v>
      </c>
      <c r="C17" s="59" t="s">
        <v>296</v>
      </c>
      <c r="D17" s="57">
        <v>65.0</v>
      </c>
      <c r="E17" s="57">
        <v>70.0</v>
      </c>
      <c r="F17" s="57">
        <v>75.0</v>
      </c>
      <c r="G17" s="57">
        <v>65.0</v>
      </c>
      <c r="H17" s="57">
        <v>70.0</v>
      </c>
      <c r="I17" s="57" t="str">
        <f>ABS('Student Calculator'!C30-D17)</f>
        <v>65</v>
      </c>
      <c r="J17" s="57" t="str">
        <f>ABS('Student Calculator'!D30-E17)</f>
        <v>70</v>
      </c>
      <c r="K17" s="57" t="str">
        <f>ABS('Student Calculator'!E30-F17)</f>
        <v>75</v>
      </c>
      <c r="L17" s="57" t="str">
        <f>ABS('Student Calculator'!F30-G17)</f>
        <v>65</v>
      </c>
      <c r="M17" s="60" t="str">
        <f t="shared" si="1"/>
        <v>38</v>
      </c>
      <c r="N17" s="61" t="str">
        <f t="shared" si="2"/>
        <v>🔴 MISMATCH</v>
      </c>
    </row>
    <row r="18" ht="19.5" customHeight="1">
      <c r="A18" s="52">
        <v>15.0</v>
      </c>
      <c r="B18" s="53" t="s">
        <v>312</v>
      </c>
      <c r="C18" s="54" t="s">
        <v>296</v>
      </c>
      <c r="D18" s="52">
        <v>80.0</v>
      </c>
      <c r="E18" s="52">
        <v>70.0</v>
      </c>
      <c r="F18" s="52">
        <v>75.0</v>
      </c>
      <c r="G18" s="52">
        <v>65.0</v>
      </c>
      <c r="H18" s="52">
        <v>70.0</v>
      </c>
      <c r="I18" s="52" t="str">
        <f>ABS('Student Calculator'!C30-D18)</f>
        <v>80</v>
      </c>
      <c r="J18" s="52" t="str">
        <f>ABS('Student Calculator'!D30-E18)</f>
        <v>70</v>
      </c>
      <c r="K18" s="52" t="str">
        <f>ABS('Student Calculator'!E30-F18)</f>
        <v>75</v>
      </c>
      <c r="L18" s="52" t="str">
        <f>ABS('Student Calculator'!F30-G18)</f>
        <v>65</v>
      </c>
      <c r="M18" s="55" t="str">
        <f t="shared" si="1"/>
        <v>34.3</v>
      </c>
      <c r="N18" s="56" t="str">
        <f t="shared" si="2"/>
        <v>🔴 MISMATCH</v>
      </c>
    </row>
    <row r="19" ht="19.5" customHeight="1">
      <c r="A19" s="57">
        <v>16.0</v>
      </c>
      <c r="B19" s="58" t="s">
        <v>313</v>
      </c>
      <c r="C19" s="59" t="s">
        <v>314</v>
      </c>
      <c r="D19" s="57">
        <v>60.0</v>
      </c>
      <c r="E19" s="57">
        <v>80.0</v>
      </c>
      <c r="F19" s="57">
        <v>80.0</v>
      </c>
      <c r="G19" s="57">
        <v>70.0</v>
      </c>
      <c r="H19" s="57">
        <v>70.0</v>
      </c>
      <c r="I19" s="57" t="str">
        <f>ABS('Student Calculator'!C30-D19)</f>
        <v>60</v>
      </c>
      <c r="J19" s="57" t="str">
        <f>ABS('Student Calculator'!D30-E19)</f>
        <v>80</v>
      </c>
      <c r="K19" s="57" t="str">
        <f>ABS('Student Calculator'!E30-F19)</f>
        <v>80</v>
      </c>
      <c r="L19" s="57" t="str">
        <f>ABS('Student Calculator'!F30-G19)</f>
        <v>70</v>
      </c>
      <c r="M19" s="60" t="str">
        <f t="shared" si="1"/>
        <v>35</v>
      </c>
      <c r="N19" s="61" t="str">
        <f t="shared" si="2"/>
        <v>🔴 MISMATCH</v>
      </c>
    </row>
    <row r="20" ht="19.5" customHeight="1">
      <c r="A20" s="52">
        <v>17.0</v>
      </c>
      <c r="B20" s="53" t="s">
        <v>315</v>
      </c>
      <c r="C20" s="54" t="s">
        <v>314</v>
      </c>
      <c r="D20" s="52">
        <v>65.0</v>
      </c>
      <c r="E20" s="52">
        <v>80.0</v>
      </c>
      <c r="F20" s="52">
        <v>80.0</v>
      </c>
      <c r="G20" s="52">
        <v>70.0</v>
      </c>
      <c r="H20" s="52">
        <v>65.0</v>
      </c>
      <c r="I20" s="52" t="str">
        <f>ABS('Student Calculator'!C30-D20)</f>
        <v>65</v>
      </c>
      <c r="J20" s="52" t="str">
        <f>ABS('Student Calculator'!D30-E20)</f>
        <v>80</v>
      </c>
      <c r="K20" s="52" t="str">
        <f>ABS('Student Calculator'!E30-F20)</f>
        <v>80</v>
      </c>
      <c r="L20" s="52" t="str">
        <f>ABS('Student Calculator'!F30-G20)</f>
        <v>70</v>
      </c>
      <c r="M20" s="55" t="str">
        <f t="shared" si="1"/>
        <v>33.8</v>
      </c>
      <c r="N20" s="56" t="str">
        <f t="shared" si="2"/>
        <v>🔴 MISMATCH</v>
      </c>
    </row>
    <row r="21" ht="19.5" customHeight="1">
      <c r="A21" s="57">
        <v>18.0</v>
      </c>
      <c r="B21" s="58" t="s">
        <v>316</v>
      </c>
      <c r="C21" s="59" t="s">
        <v>314</v>
      </c>
      <c r="D21" s="57">
        <v>40.0</v>
      </c>
      <c r="E21" s="57">
        <v>95.0</v>
      </c>
      <c r="F21" s="57">
        <v>85.0</v>
      </c>
      <c r="G21" s="57">
        <v>55.0</v>
      </c>
      <c r="H21" s="57">
        <v>80.0</v>
      </c>
      <c r="I21" s="57" t="str">
        <f>ABS('Student Calculator'!C30-D21)</f>
        <v>40</v>
      </c>
      <c r="J21" s="57" t="str">
        <f>ABS('Student Calculator'!D30-E21)</f>
        <v>95</v>
      </c>
      <c r="K21" s="57" t="str">
        <f>ABS('Student Calculator'!E30-F21)</f>
        <v>85</v>
      </c>
      <c r="L21" s="57" t="str">
        <f>ABS('Student Calculator'!F30-G21)</f>
        <v>55</v>
      </c>
      <c r="M21" s="60" t="str">
        <f t="shared" si="1"/>
        <v>38.8</v>
      </c>
      <c r="N21" s="61" t="str">
        <f t="shared" si="2"/>
        <v>🔴 MISMATCH</v>
      </c>
    </row>
    <row r="22" ht="19.5" customHeight="1">
      <c r="A22" s="52">
        <v>19.0</v>
      </c>
      <c r="B22" s="53" t="s">
        <v>317</v>
      </c>
      <c r="C22" s="54" t="s">
        <v>318</v>
      </c>
      <c r="D22" s="52">
        <v>75.0</v>
      </c>
      <c r="E22" s="52">
        <v>85.0</v>
      </c>
      <c r="F22" s="52">
        <v>70.0</v>
      </c>
      <c r="G22" s="52">
        <v>55.0</v>
      </c>
      <c r="H22" s="52">
        <v>75.0</v>
      </c>
      <c r="I22" s="52" t="str">
        <f>ABS('Student Calculator'!C30-D22)</f>
        <v>75</v>
      </c>
      <c r="J22" s="52" t="str">
        <f>ABS('Student Calculator'!D30-E22)</f>
        <v>85</v>
      </c>
      <c r="K22" s="52" t="str">
        <f>ABS('Student Calculator'!E30-F22)</f>
        <v>70</v>
      </c>
      <c r="L22" s="52" t="str">
        <f>ABS('Student Calculator'!F30-G22)</f>
        <v>55</v>
      </c>
      <c r="M22" s="55" t="str">
        <f t="shared" si="1"/>
        <v>35.8</v>
      </c>
      <c r="N22" s="56" t="str">
        <f t="shared" si="2"/>
        <v>🔴 MISMATCH</v>
      </c>
    </row>
    <row r="23" ht="19.5" customHeight="1">
      <c r="A23" s="57">
        <v>20.0</v>
      </c>
      <c r="B23" s="58" t="s">
        <v>319</v>
      </c>
      <c r="C23" s="59" t="s">
        <v>318</v>
      </c>
      <c r="D23" s="57">
        <v>80.0</v>
      </c>
      <c r="E23" s="57">
        <v>85.0</v>
      </c>
      <c r="F23" s="57">
        <v>70.0</v>
      </c>
      <c r="G23" s="57">
        <v>60.0</v>
      </c>
      <c r="H23" s="57">
        <v>75.0</v>
      </c>
      <c r="I23" s="57" t="str">
        <f>ABS('Student Calculator'!C30-D23)</f>
        <v>80</v>
      </c>
      <c r="J23" s="57" t="str">
        <f>ABS('Student Calculator'!D30-E23)</f>
        <v>85</v>
      </c>
      <c r="K23" s="57" t="str">
        <f>ABS('Student Calculator'!E30-F23)</f>
        <v>70</v>
      </c>
      <c r="L23" s="57" t="str">
        <f>ABS('Student Calculator'!F30-G23)</f>
        <v>60</v>
      </c>
      <c r="M23" s="60" t="str">
        <f t="shared" si="1"/>
        <v>33.5</v>
      </c>
      <c r="N23" s="61" t="str">
        <f t="shared" si="2"/>
        <v>🔴 MISMATCH</v>
      </c>
    </row>
    <row r="24" ht="19.5" customHeight="1">
      <c r="A24" s="52">
        <v>21.0</v>
      </c>
      <c r="B24" s="53" t="s">
        <v>320</v>
      </c>
      <c r="C24" s="54" t="s">
        <v>318</v>
      </c>
      <c r="D24" s="52">
        <v>85.0</v>
      </c>
      <c r="E24" s="52">
        <v>80.0</v>
      </c>
      <c r="F24" s="52">
        <v>65.0</v>
      </c>
      <c r="G24" s="52">
        <v>55.0</v>
      </c>
      <c r="H24" s="52">
        <v>75.0</v>
      </c>
      <c r="I24" s="52" t="str">
        <f>ABS('Student Calculator'!C30-D24)</f>
        <v>85</v>
      </c>
      <c r="J24" s="52" t="str">
        <f>ABS('Student Calculator'!D30-E24)</f>
        <v>80</v>
      </c>
      <c r="K24" s="52" t="str">
        <f>ABS('Student Calculator'!E30-F24)</f>
        <v>65</v>
      </c>
      <c r="L24" s="52" t="str">
        <f>ABS('Student Calculator'!F30-G24)</f>
        <v>55</v>
      </c>
      <c r="M24" s="55" t="str">
        <f t="shared" si="1"/>
        <v>35.5</v>
      </c>
      <c r="N24" s="56" t="str">
        <f t="shared" si="2"/>
        <v>🔴 MISMATCH</v>
      </c>
    </row>
    <row r="25" ht="19.5" customHeight="1">
      <c r="A25" s="57">
        <v>22.0</v>
      </c>
      <c r="B25" s="58" t="s">
        <v>321</v>
      </c>
      <c r="C25" s="59" t="s">
        <v>318</v>
      </c>
      <c r="D25" s="57">
        <v>80.0</v>
      </c>
      <c r="E25" s="57">
        <v>75.0</v>
      </c>
      <c r="F25" s="57">
        <v>65.0</v>
      </c>
      <c r="G25" s="57">
        <v>55.0</v>
      </c>
      <c r="H25" s="57">
        <v>75.0</v>
      </c>
      <c r="I25" s="57" t="str">
        <f>ABS('Student Calculator'!C30-D25)</f>
        <v>80</v>
      </c>
      <c r="J25" s="57" t="str">
        <f>ABS('Student Calculator'!D30-E25)</f>
        <v>75</v>
      </c>
      <c r="K25" s="57" t="str">
        <f>ABS('Student Calculator'!E30-F25)</f>
        <v>65</v>
      </c>
      <c r="L25" s="57" t="str">
        <f>ABS('Student Calculator'!F30-G25)</f>
        <v>55</v>
      </c>
      <c r="M25" s="60" t="str">
        <f t="shared" si="1"/>
        <v>37.8</v>
      </c>
      <c r="N25" s="61" t="str">
        <f t="shared" si="2"/>
        <v>🔴 MISMATCH</v>
      </c>
    </row>
    <row r="26" ht="19.5" customHeight="1">
      <c r="A26" s="52">
        <v>23.0</v>
      </c>
      <c r="B26" s="53" t="s">
        <v>322</v>
      </c>
      <c r="C26" s="54" t="s">
        <v>318</v>
      </c>
      <c r="D26" s="52">
        <v>70.0</v>
      </c>
      <c r="E26" s="52">
        <v>85.0</v>
      </c>
      <c r="F26" s="52">
        <v>65.0</v>
      </c>
      <c r="G26" s="52">
        <v>55.0</v>
      </c>
      <c r="H26" s="52">
        <v>75.0</v>
      </c>
      <c r="I26" s="52" t="str">
        <f>ABS('Student Calculator'!C30-D26)</f>
        <v>70</v>
      </c>
      <c r="J26" s="52" t="str">
        <f>ABS('Student Calculator'!D30-E26)</f>
        <v>85</v>
      </c>
      <c r="K26" s="52" t="str">
        <f>ABS('Student Calculator'!E30-F26)</f>
        <v>65</v>
      </c>
      <c r="L26" s="52" t="str">
        <f>ABS('Student Calculator'!F30-G26)</f>
        <v>55</v>
      </c>
      <c r="M26" s="55" t="str">
        <f t="shared" si="1"/>
        <v>38.3</v>
      </c>
      <c r="N26" s="56" t="str">
        <f t="shared" si="2"/>
        <v>🔴 MISMATCH</v>
      </c>
    </row>
    <row r="27" ht="19.5" customHeight="1">
      <c r="A27" s="57">
        <v>24.0</v>
      </c>
      <c r="B27" s="58" t="s">
        <v>323</v>
      </c>
      <c r="C27" s="59" t="s">
        <v>318</v>
      </c>
      <c r="D27" s="57">
        <v>80.0</v>
      </c>
      <c r="E27" s="57">
        <v>80.0</v>
      </c>
      <c r="F27" s="57">
        <v>65.0</v>
      </c>
      <c r="G27" s="57">
        <v>55.0</v>
      </c>
      <c r="H27" s="57">
        <v>75.0</v>
      </c>
      <c r="I27" s="57" t="str">
        <f>ABS('Student Calculator'!C30-D27)</f>
        <v>80</v>
      </c>
      <c r="J27" s="57" t="str">
        <f>ABS('Student Calculator'!D30-E27)</f>
        <v>80</v>
      </c>
      <c r="K27" s="57" t="str">
        <f>ABS('Student Calculator'!E30-F27)</f>
        <v>65</v>
      </c>
      <c r="L27" s="57" t="str">
        <f>ABS('Student Calculator'!F30-G27)</f>
        <v>55</v>
      </c>
      <c r="M27" s="60" t="str">
        <f t="shared" si="1"/>
        <v>36.8</v>
      </c>
      <c r="N27" s="61" t="str">
        <f t="shared" si="2"/>
        <v>🔴 MISMATCH</v>
      </c>
    </row>
    <row r="28" ht="19.5" customHeight="1">
      <c r="A28" s="52">
        <v>25.0</v>
      </c>
      <c r="B28" s="53" t="s">
        <v>324</v>
      </c>
      <c r="C28" s="54" t="s">
        <v>318</v>
      </c>
      <c r="D28" s="52">
        <v>80.0</v>
      </c>
      <c r="E28" s="52">
        <v>80.0</v>
      </c>
      <c r="F28" s="52">
        <v>65.0</v>
      </c>
      <c r="G28" s="52">
        <v>55.0</v>
      </c>
      <c r="H28" s="52">
        <v>75.0</v>
      </c>
      <c r="I28" s="52" t="str">
        <f>ABS('Student Calculator'!C30-D28)</f>
        <v>80</v>
      </c>
      <c r="J28" s="52" t="str">
        <f>ABS('Student Calculator'!D30-E28)</f>
        <v>80</v>
      </c>
      <c r="K28" s="52" t="str">
        <f>ABS('Student Calculator'!E30-F28)</f>
        <v>65</v>
      </c>
      <c r="L28" s="52" t="str">
        <f>ABS('Student Calculator'!F30-G28)</f>
        <v>55</v>
      </c>
      <c r="M28" s="55" t="str">
        <f t="shared" si="1"/>
        <v>36.8</v>
      </c>
      <c r="N28" s="56" t="str">
        <f t="shared" si="2"/>
        <v>🔴 MISMATCH</v>
      </c>
    </row>
    <row r="29" ht="19.5" customHeight="1">
      <c r="A29" s="57">
        <v>26.0</v>
      </c>
      <c r="B29" s="58" t="s">
        <v>325</v>
      </c>
      <c r="C29" s="59" t="s">
        <v>326</v>
      </c>
      <c r="D29" s="57">
        <v>55.0</v>
      </c>
      <c r="E29" s="57">
        <v>90.0</v>
      </c>
      <c r="F29" s="57">
        <v>70.0</v>
      </c>
      <c r="G29" s="57">
        <v>45.0</v>
      </c>
      <c r="H29" s="57">
        <v>80.0</v>
      </c>
      <c r="I29" s="57" t="str">
        <f>ABS('Student Calculator'!C30-D29)</f>
        <v>55</v>
      </c>
      <c r="J29" s="57" t="str">
        <f>ABS('Student Calculator'!D30-E29)</f>
        <v>90</v>
      </c>
      <c r="K29" s="57" t="str">
        <f>ABS('Student Calculator'!E30-F29)</f>
        <v>70</v>
      </c>
      <c r="L29" s="57" t="str">
        <f>ABS('Student Calculator'!F30-G29)</f>
        <v>45</v>
      </c>
      <c r="M29" s="60" t="str">
        <f t="shared" si="1"/>
        <v>41.8</v>
      </c>
      <c r="N29" s="61" t="str">
        <f t="shared" si="2"/>
        <v>🔴 MISMATCH</v>
      </c>
    </row>
    <row r="30" ht="19.5" customHeight="1">
      <c r="A30" s="52">
        <v>27.0</v>
      </c>
      <c r="B30" s="53" t="s">
        <v>327</v>
      </c>
      <c r="C30" s="54" t="s">
        <v>326</v>
      </c>
      <c r="D30" s="52">
        <v>45.0</v>
      </c>
      <c r="E30" s="52">
        <v>90.0</v>
      </c>
      <c r="F30" s="52">
        <v>70.0</v>
      </c>
      <c r="G30" s="52">
        <v>45.0</v>
      </c>
      <c r="H30" s="52">
        <v>80.0</v>
      </c>
      <c r="I30" s="52" t="str">
        <f>ABS('Student Calculator'!C30-D30)</f>
        <v>45</v>
      </c>
      <c r="J30" s="52" t="str">
        <f>ABS('Student Calculator'!D30-E30)</f>
        <v>90</v>
      </c>
      <c r="K30" s="52" t="str">
        <f>ABS('Student Calculator'!E30-F30)</f>
        <v>70</v>
      </c>
      <c r="L30" s="52" t="str">
        <f>ABS('Student Calculator'!F30-G30)</f>
        <v>45</v>
      </c>
      <c r="M30" s="55" t="str">
        <f t="shared" si="1"/>
        <v>44.3</v>
      </c>
      <c r="N30" s="56" t="str">
        <f t="shared" si="2"/>
        <v>🔴 MISMATCH</v>
      </c>
    </row>
    <row r="31" ht="19.5" customHeight="1">
      <c r="A31" s="57">
        <v>28.0</v>
      </c>
      <c r="B31" s="58" t="s">
        <v>328</v>
      </c>
      <c r="C31" s="59" t="s">
        <v>326</v>
      </c>
      <c r="D31" s="57">
        <v>40.0</v>
      </c>
      <c r="E31" s="57">
        <v>95.0</v>
      </c>
      <c r="F31" s="57">
        <v>75.0</v>
      </c>
      <c r="G31" s="57">
        <v>40.0</v>
      </c>
      <c r="H31" s="57">
        <v>80.0</v>
      </c>
      <c r="I31" s="57" t="str">
        <f>ABS('Student Calculator'!C30-D31)</f>
        <v>40</v>
      </c>
      <c r="J31" s="57" t="str">
        <f>ABS('Student Calculator'!D30-E31)</f>
        <v>95</v>
      </c>
      <c r="K31" s="57" t="str">
        <f>ABS('Student Calculator'!E30-F31)</f>
        <v>75</v>
      </c>
      <c r="L31" s="57" t="str">
        <f>ABS('Student Calculator'!F30-G31)</f>
        <v>40</v>
      </c>
      <c r="M31" s="60" t="str">
        <f t="shared" si="1"/>
        <v>44.3</v>
      </c>
      <c r="N31" s="61" t="str">
        <f t="shared" si="2"/>
        <v>🔴 MISMATCH</v>
      </c>
    </row>
    <row r="32" ht="19.5" customHeight="1">
      <c r="A32" s="52">
        <v>29.0</v>
      </c>
      <c r="B32" s="53" t="s">
        <v>329</v>
      </c>
      <c r="C32" s="54" t="s">
        <v>326</v>
      </c>
      <c r="D32" s="52">
        <v>40.0</v>
      </c>
      <c r="E32" s="52">
        <v>95.0</v>
      </c>
      <c r="F32" s="52">
        <v>75.0</v>
      </c>
      <c r="G32" s="52">
        <v>40.0</v>
      </c>
      <c r="H32" s="52">
        <v>80.0</v>
      </c>
      <c r="I32" s="52" t="str">
        <f>ABS('Student Calculator'!C30-D32)</f>
        <v>40</v>
      </c>
      <c r="J32" s="52" t="str">
        <f>ABS('Student Calculator'!D30-E32)</f>
        <v>95</v>
      </c>
      <c r="K32" s="52" t="str">
        <f>ABS('Student Calculator'!E30-F32)</f>
        <v>75</v>
      </c>
      <c r="L32" s="52" t="str">
        <f>ABS('Student Calculator'!F30-G32)</f>
        <v>40</v>
      </c>
      <c r="M32" s="55" t="str">
        <f t="shared" si="1"/>
        <v>44.3</v>
      </c>
      <c r="N32" s="56" t="str">
        <f t="shared" si="2"/>
        <v>🔴 MISMATCH</v>
      </c>
    </row>
    <row r="33" ht="19.5" customHeight="1">
      <c r="A33" s="57">
        <v>30.0</v>
      </c>
      <c r="B33" s="58" t="s">
        <v>330</v>
      </c>
      <c r="C33" s="59" t="s">
        <v>326</v>
      </c>
      <c r="D33" s="57">
        <v>55.0</v>
      </c>
      <c r="E33" s="57">
        <v>90.0</v>
      </c>
      <c r="F33" s="57">
        <v>70.0</v>
      </c>
      <c r="G33" s="57">
        <v>40.0</v>
      </c>
      <c r="H33" s="57">
        <v>80.0</v>
      </c>
      <c r="I33" s="57" t="str">
        <f>ABS('Student Calculator'!C30-D33)</f>
        <v>55</v>
      </c>
      <c r="J33" s="57" t="str">
        <f>ABS('Student Calculator'!D30-E33)</f>
        <v>90</v>
      </c>
      <c r="K33" s="57" t="str">
        <f>ABS('Student Calculator'!E30-F33)</f>
        <v>70</v>
      </c>
      <c r="L33" s="57" t="str">
        <f>ABS('Student Calculator'!F30-G33)</f>
        <v>40</v>
      </c>
      <c r="M33" s="60" t="str">
        <f t="shared" si="1"/>
        <v>42.8</v>
      </c>
      <c r="N33" s="61" t="str">
        <f t="shared" si="2"/>
        <v>🔴 MISMATCH</v>
      </c>
    </row>
    <row r="34" ht="19.5" customHeight="1">
      <c r="A34" s="52">
        <v>31.0</v>
      </c>
      <c r="B34" s="53" t="s">
        <v>331</v>
      </c>
      <c r="C34" s="54" t="s">
        <v>326</v>
      </c>
      <c r="D34" s="52">
        <v>55.0</v>
      </c>
      <c r="E34" s="52">
        <v>85.0</v>
      </c>
      <c r="F34" s="52">
        <v>70.0</v>
      </c>
      <c r="G34" s="52">
        <v>45.0</v>
      </c>
      <c r="H34" s="52">
        <v>80.0</v>
      </c>
      <c r="I34" s="52" t="str">
        <f>ABS('Student Calculator'!C30-D34)</f>
        <v>55</v>
      </c>
      <c r="J34" s="52" t="str">
        <f>ABS('Student Calculator'!D30-E34)</f>
        <v>85</v>
      </c>
      <c r="K34" s="52" t="str">
        <f>ABS('Student Calculator'!E30-F34)</f>
        <v>70</v>
      </c>
      <c r="L34" s="52" t="str">
        <f>ABS('Student Calculator'!F30-G34)</f>
        <v>45</v>
      </c>
      <c r="M34" s="55" t="str">
        <f t="shared" si="1"/>
        <v>42.8</v>
      </c>
      <c r="N34" s="56" t="str">
        <f t="shared" si="2"/>
        <v>🔴 MISMATCH</v>
      </c>
    </row>
    <row r="35" ht="19.5" customHeight="1">
      <c r="A35" s="57">
        <v>32.0</v>
      </c>
      <c r="B35" s="58" t="s">
        <v>332</v>
      </c>
      <c r="C35" s="59" t="s">
        <v>326</v>
      </c>
      <c r="D35" s="57">
        <v>65.0</v>
      </c>
      <c r="E35" s="57">
        <v>85.0</v>
      </c>
      <c r="F35" s="57">
        <v>65.0</v>
      </c>
      <c r="G35" s="57">
        <v>40.0</v>
      </c>
      <c r="H35" s="57">
        <v>75.0</v>
      </c>
      <c r="I35" s="57" t="str">
        <f>ABS('Student Calculator'!C30-D35)</f>
        <v>65</v>
      </c>
      <c r="J35" s="57" t="str">
        <f>ABS('Student Calculator'!D30-E35)</f>
        <v>85</v>
      </c>
      <c r="K35" s="57" t="str">
        <f>ABS('Student Calculator'!E30-F35)</f>
        <v>65</v>
      </c>
      <c r="L35" s="57" t="str">
        <f>ABS('Student Calculator'!F30-G35)</f>
        <v>40</v>
      </c>
      <c r="M35" s="60" t="str">
        <f t="shared" si="1"/>
        <v>42.5</v>
      </c>
      <c r="N35" s="61" t="str">
        <f t="shared" si="2"/>
        <v>🔴 MISMATCH</v>
      </c>
    </row>
    <row r="36" ht="19.5" customHeight="1">
      <c r="A36" s="52">
        <v>33.0</v>
      </c>
      <c r="B36" s="53" t="s">
        <v>333</v>
      </c>
      <c r="C36" s="54" t="s">
        <v>334</v>
      </c>
      <c r="D36" s="52">
        <v>70.0</v>
      </c>
      <c r="E36" s="52">
        <v>65.0</v>
      </c>
      <c r="F36" s="52">
        <v>75.0</v>
      </c>
      <c r="G36" s="52">
        <v>90.0</v>
      </c>
      <c r="H36" s="52">
        <v>70.0</v>
      </c>
      <c r="I36" s="52" t="str">
        <f>ABS('Student Calculator'!C30-D36)</f>
        <v>70</v>
      </c>
      <c r="J36" s="52" t="str">
        <f>ABS('Student Calculator'!D30-E36)</f>
        <v>65</v>
      </c>
      <c r="K36" s="52" t="str">
        <f>ABS('Student Calculator'!E30-F36)</f>
        <v>75</v>
      </c>
      <c r="L36" s="52" t="str">
        <f>ABS('Student Calculator'!F30-G36)</f>
        <v>90</v>
      </c>
      <c r="M36" s="55" t="str">
        <f t="shared" si="1"/>
        <v>32.8</v>
      </c>
      <c r="N36" s="56" t="str">
        <f t="shared" si="2"/>
        <v>🔴 MISMATCH</v>
      </c>
    </row>
    <row r="37" ht="19.5" customHeight="1">
      <c r="A37" s="57">
        <v>34.0</v>
      </c>
      <c r="B37" s="58" t="s">
        <v>335</v>
      </c>
      <c r="C37" s="59" t="s">
        <v>336</v>
      </c>
      <c r="D37" s="57">
        <v>65.0</v>
      </c>
      <c r="E37" s="57">
        <v>75.0</v>
      </c>
      <c r="F37" s="57">
        <v>80.0</v>
      </c>
      <c r="G37" s="57">
        <v>75.0</v>
      </c>
      <c r="H37" s="57">
        <v>85.0</v>
      </c>
      <c r="I37" s="57" t="str">
        <f>ABS('Student Calculator'!C30-D37)</f>
        <v>65</v>
      </c>
      <c r="J37" s="57" t="str">
        <f>ABS('Student Calculator'!D30-E37)</f>
        <v>75</v>
      </c>
      <c r="K37" s="57" t="str">
        <f>ABS('Student Calculator'!E30-F37)</f>
        <v>80</v>
      </c>
      <c r="L37" s="57" t="str">
        <f>ABS('Student Calculator'!F30-G37)</f>
        <v>75</v>
      </c>
      <c r="M37" s="60" t="str">
        <f t="shared" si="1"/>
        <v>33.8</v>
      </c>
      <c r="N37" s="61" t="str">
        <f t="shared" si="2"/>
        <v>🔴 MISMATCH</v>
      </c>
    </row>
    <row r="38" ht="19.5" customHeight="1">
      <c r="A38" s="52">
        <v>35.0</v>
      </c>
      <c r="B38" s="53" t="s">
        <v>337</v>
      </c>
      <c r="C38" s="54" t="s">
        <v>336</v>
      </c>
      <c r="D38" s="52">
        <v>50.0</v>
      </c>
      <c r="E38" s="52">
        <v>85.0</v>
      </c>
      <c r="F38" s="52">
        <v>70.0</v>
      </c>
      <c r="G38" s="52">
        <v>65.0</v>
      </c>
      <c r="H38" s="52">
        <v>85.0</v>
      </c>
      <c r="I38" s="52" t="str">
        <f>ABS('Student Calculator'!C30-D38)</f>
        <v>50</v>
      </c>
      <c r="J38" s="52" t="str">
        <f>ABS('Student Calculator'!D30-E38)</f>
        <v>85</v>
      </c>
      <c r="K38" s="52" t="str">
        <f>ABS('Student Calculator'!E30-F38)</f>
        <v>70</v>
      </c>
      <c r="L38" s="52" t="str">
        <f>ABS('Student Calculator'!F30-G38)</f>
        <v>65</v>
      </c>
      <c r="M38" s="55" t="str">
        <f t="shared" si="1"/>
        <v>40</v>
      </c>
      <c r="N38" s="56" t="str">
        <f t="shared" si="2"/>
        <v>🔴 MISMATCH</v>
      </c>
    </row>
    <row r="39" ht="19.5" customHeight="1">
      <c r="A39" s="57">
        <v>36.0</v>
      </c>
      <c r="B39" s="58" t="s">
        <v>338</v>
      </c>
      <c r="C39" s="59" t="s">
        <v>339</v>
      </c>
      <c r="D39" s="57">
        <v>35.0</v>
      </c>
      <c r="E39" s="57">
        <v>95.0</v>
      </c>
      <c r="F39" s="57">
        <v>65.0</v>
      </c>
      <c r="G39" s="57">
        <v>35.0</v>
      </c>
      <c r="H39" s="57">
        <v>85.0</v>
      </c>
      <c r="I39" s="57" t="str">
        <f>ABS('Student Calculator'!C30-D39)</f>
        <v>35</v>
      </c>
      <c r="J39" s="57" t="str">
        <f>ABS('Student Calculator'!D30-E39)</f>
        <v>95</v>
      </c>
      <c r="K39" s="57" t="str">
        <f>ABS('Student Calculator'!E30-F39)</f>
        <v>65</v>
      </c>
      <c r="L39" s="57" t="str">
        <f>ABS('Student Calculator'!F30-G39)</f>
        <v>35</v>
      </c>
      <c r="M39" s="60" t="str">
        <f t="shared" si="1"/>
        <v>49</v>
      </c>
      <c r="N39" s="61" t="str">
        <f t="shared" si="2"/>
        <v>🔴 MISMATCH</v>
      </c>
    </row>
    <row r="40" ht="19.5" customHeight="1">
      <c r="A40" s="52">
        <v>37.0</v>
      </c>
      <c r="B40" s="53" t="s">
        <v>340</v>
      </c>
      <c r="C40" s="54" t="s">
        <v>339</v>
      </c>
      <c r="D40" s="52">
        <v>40.0</v>
      </c>
      <c r="E40" s="52">
        <v>90.0</v>
      </c>
      <c r="F40" s="52">
        <v>60.0</v>
      </c>
      <c r="G40" s="52">
        <v>40.0</v>
      </c>
      <c r="H40" s="52">
        <v>85.0</v>
      </c>
      <c r="I40" s="52" t="str">
        <f>ABS('Student Calculator'!C30-D40)</f>
        <v>40</v>
      </c>
      <c r="J40" s="52" t="str">
        <f>ABS('Student Calculator'!D30-E40)</f>
        <v>90</v>
      </c>
      <c r="K40" s="52" t="str">
        <f>ABS('Student Calculator'!E30-F40)</f>
        <v>60</v>
      </c>
      <c r="L40" s="52" t="str">
        <f>ABS('Student Calculator'!F30-G40)</f>
        <v>40</v>
      </c>
      <c r="M40" s="55" t="str">
        <f t="shared" si="1"/>
        <v>49</v>
      </c>
      <c r="N40" s="56" t="str">
        <f t="shared" si="2"/>
        <v>🔴 MISMATCH</v>
      </c>
    </row>
    <row r="41" ht="19.5" customHeight="1">
      <c r="A41" s="57">
        <v>38.0</v>
      </c>
      <c r="B41" s="58" t="s">
        <v>341</v>
      </c>
      <c r="C41" s="59" t="s">
        <v>339</v>
      </c>
      <c r="D41" s="57">
        <v>60.0</v>
      </c>
      <c r="E41" s="57">
        <v>80.0</v>
      </c>
      <c r="F41" s="57">
        <v>70.0</v>
      </c>
      <c r="G41" s="57">
        <v>55.0</v>
      </c>
      <c r="H41" s="57">
        <v>85.0</v>
      </c>
      <c r="I41" s="57" t="str">
        <f>ABS('Student Calculator'!C30-D41)</f>
        <v>60</v>
      </c>
      <c r="J41" s="57" t="str">
        <f>ABS('Student Calculator'!D30-E41)</f>
        <v>80</v>
      </c>
      <c r="K41" s="57" t="str">
        <f>ABS('Student Calculator'!E30-F41)</f>
        <v>70</v>
      </c>
      <c r="L41" s="57" t="str">
        <f>ABS('Student Calculator'!F30-G41)</f>
        <v>55</v>
      </c>
      <c r="M41" s="60" t="str">
        <f t="shared" si="1"/>
        <v>40.5</v>
      </c>
      <c r="N41" s="61" t="str">
        <f t="shared" si="2"/>
        <v>🔴 MISMATCH</v>
      </c>
    </row>
    <row r="42" ht="19.5" customHeight="1">
      <c r="A42" s="52">
        <v>39.0</v>
      </c>
      <c r="B42" s="53" t="s">
        <v>342</v>
      </c>
      <c r="C42" s="54" t="s">
        <v>339</v>
      </c>
      <c r="D42" s="52">
        <v>45.0</v>
      </c>
      <c r="E42" s="52">
        <v>90.0</v>
      </c>
      <c r="F42" s="52">
        <v>70.0</v>
      </c>
      <c r="G42" s="52">
        <v>50.0</v>
      </c>
      <c r="H42" s="52">
        <v>85.0</v>
      </c>
      <c r="I42" s="52" t="str">
        <f>ABS('Student Calculator'!C30-D42)</f>
        <v>45</v>
      </c>
      <c r="J42" s="52" t="str">
        <f>ABS('Student Calculator'!D30-E42)</f>
        <v>90</v>
      </c>
      <c r="K42" s="52" t="str">
        <f>ABS('Student Calculator'!E30-F42)</f>
        <v>70</v>
      </c>
      <c r="L42" s="52" t="str">
        <f>ABS('Student Calculator'!F30-G42)</f>
        <v>50</v>
      </c>
      <c r="M42" s="55" t="str">
        <f t="shared" si="1"/>
        <v>43.3</v>
      </c>
      <c r="N42" s="56" t="str">
        <f t="shared" si="2"/>
        <v>🔴 MISMATCH</v>
      </c>
    </row>
    <row r="43" ht="19.5" customHeight="1">
      <c r="A43" s="57">
        <v>40.0</v>
      </c>
      <c r="B43" s="58" t="s">
        <v>343</v>
      </c>
      <c r="C43" s="59" t="s">
        <v>339</v>
      </c>
      <c r="D43" s="57">
        <v>55.0</v>
      </c>
      <c r="E43" s="57">
        <v>80.0</v>
      </c>
      <c r="F43" s="57">
        <v>70.0</v>
      </c>
      <c r="G43" s="57">
        <v>60.0</v>
      </c>
      <c r="H43" s="57">
        <v>80.0</v>
      </c>
      <c r="I43" s="57" t="str">
        <f>ABS('Student Calculator'!C30-D43)</f>
        <v>55</v>
      </c>
      <c r="J43" s="57" t="str">
        <f>ABS('Student Calculator'!D30-E43)</f>
        <v>80</v>
      </c>
      <c r="K43" s="57" t="str">
        <f>ABS('Student Calculator'!E30-F43)</f>
        <v>70</v>
      </c>
      <c r="L43" s="57" t="str">
        <f>ABS('Student Calculator'!F30-G43)</f>
        <v>60</v>
      </c>
      <c r="M43" s="60" t="str">
        <f t="shared" si="1"/>
        <v>40.8</v>
      </c>
      <c r="N43" s="61" t="str">
        <f t="shared" si="2"/>
        <v>🔴 MISMATCH</v>
      </c>
    </row>
    <row r="44" ht="19.5" customHeight="1">
      <c r="A44" s="52">
        <v>41.0</v>
      </c>
      <c r="B44" s="53" t="s">
        <v>344</v>
      </c>
      <c r="C44" s="54" t="s">
        <v>336</v>
      </c>
      <c r="D44" s="52">
        <v>70.0</v>
      </c>
      <c r="E44" s="52">
        <v>80.0</v>
      </c>
      <c r="F44" s="52">
        <v>80.0</v>
      </c>
      <c r="G44" s="52">
        <v>65.0</v>
      </c>
      <c r="H44" s="52">
        <v>90.0</v>
      </c>
      <c r="I44" s="52" t="str">
        <f>ABS('Student Calculator'!C30-D44)</f>
        <v>70</v>
      </c>
      <c r="J44" s="52" t="str">
        <f>ABS('Student Calculator'!D30-E44)</f>
        <v>80</v>
      </c>
      <c r="K44" s="52" t="str">
        <f>ABS('Student Calculator'!E30-F44)</f>
        <v>80</v>
      </c>
      <c r="L44" s="52" t="str">
        <f>ABS('Student Calculator'!F30-G44)</f>
        <v>65</v>
      </c>
      <c r="M44" s="55" t="str">
        <f t="shared" si="1"/>
        <v>33.5</v>
      </c>
      <c r="N44" s="56" t="str">
        <f t="shared" si="2"/>
        <v>🔴 MISMATCH</v>
      </c>
    </row>
    <row r="45" ht="19.5" customHeight="1">
      <c r="A45" s="57">
        <v>42.0</v>
      </c>
      <c r="B45" s="58" t="s">
        <v>345</v>
      </c>
      <c r="C45" s="59" t="s">
        <v>336</v>
      </c>
      <c r="D45" s="57">
        <v>85.0</v>
      </c>
      <c r="E45" s="57">
        <v>65.0</v>
      </c>
      <c r="F45" s="57">
        <v>95.0</v>
      </c>
      <c r="G45" s="57">
        <v>75.0</v>
      </c>
      <c r="H45" s="57">
        <v>85.0</v>
      </c>
      <c r="I45" s="57" t="str">
        <f>ABS('Student Calculator'!C30-D45)</f>
        <v>85</v>
      </c>
      <c r="J45" s="57" t="str">
        <f>ABS('Student Calculator'!D30-E45)</f>
        <v>65</v>
      </c>
      <c r="K45" s="57" t="str">
        <f>ABS('Student Calculator'!E30-F45)</f>
        <v>95</v>
      </c>
      <c r="L45" s="57" t="str">
        <f>ABS('Student Calculator'!F30-G45)</f>
        <v>75</v>
      </c>
      <c r="M45" s="60" t="str">
        <f t="shared" si="1"/>
        <v>27</v>
      </c>
      <c r="N45" s="61" t="str">
        <f t="shared" si="2"/>
        <v>🔴 MISMATCH</v>
      </c>
    </row>
    <row r="46" ht="19.5" customHeight="1">
      <c r="A46" s="52">
        <v>43.0</v>
      </c>
      <c r="B46" s="53" t="s">
        <v>346</v>
      </c>
      <c r="C46" s="54" t="s">
        <v>336</v>
      </c>
      <c r="D46" s="52">
        <v>65.0</v>
      </c>
      <c r="E46" s="52">
        <v>80.0</v>
      </c>
      <c r="F46" s="52">
        <v>75.0</v>
      </c>
      <c r="G46" s="52">
        <v>70.0</v>
      </c>
      <c r="H46" s="52">
        <v>90.0</v>
      </c>
      <c r="I46" s="52" t="str">
        <f>ABS('Student Calculator'!C30-D46)</f>
        <v>65</v>
      </c>
      <c r="J46" s="52" t="str">
        <f>ABS('Student Calculator'!D30-E46)</f>
        <v>80</v>
      </c>
      <c r="K46" s="52" t="str">
        <f>ABS('Student Calculator'!E30-F46)</f>
        <v>75</v>
      </c>
      <c r="L46" s="52" t="str">
        <f>ABS('Student Calculator'!F30-G46)</f>
        <v>70</v>
      </c>
      <c r="M46" s="55" t="str">
        <f t="shared" si="1"/>
        <v>35</v>
      </c>
      <c r="N46" s="56" t="str">
        <f t="shared" si="2"/>
        <v>🔴 MISMATCH</v>
      </c>
    </row>
    <row r="47" ht="19.5" customHeight="1">
      <c r="A47" s="57">
        <v>44.0</v>
      </c>
      <c r="B47" s="58" t="s">
        <v>347</v>
      </c>
      <c r="C47" s="59" t="s">
        <v>336</v>
      </c>
      <c r="D47" s="57">
        <v>70.0</v>
      </c>
      <c r="E47" s="57">
        <v>80.0</v>
      </c>
      <c r="F47" s="57">
        <v>65.0</v>
      </c>
      <c r="G47" s="57">
        <v>65.0</v>
      </c>
      <c r="H47" s="57">
        <v>85.0</v>
      </c>
      <c r="I47" s="57" t="str">
        <f>ABS('Student Calculator'!C30-D47)</f>
        <v>70</v>
      </c>
      <c r="J47" s="57" t="str">
        <f>ABS('Student Calculator'!D30-E47)</f>
        <v>80</v>
      </c>
      <c r="K47" s="57" t="str">
        <f>ABS('Student Calculator'!E30-F47)</f>
        <v>65</v>
      </c>
      <c r="L47" s="57" t="str">
        <f>ABS('Student Calculator'!F30-G47)</f>
        <v>65</v>
      </c>
      <c r="M47" s="60" t="str">
        <f t="shared" si="1"/>
        <v>37.3</v>
      </c>
      <c r="N47" s="61" t="str">
        <f t="shared" si="2"/>
        <v>🔴 MISMATCH</v>
      </c>
    </row>
    <row r="48" ht="19.5" customHeight="1">
      <c r="A48" s="52">
        <v>45.0</v>
      </c>
      <c r="B48" s="53" t="s">
        <v>348</v>
      </c>
      <c r="C48" s="54" t="s">
        <v>336</v>
      </c>
      <c r="D48" s="52">
        <v>70.0</v>
      </c>
      <c r="E48" s="52">
        <v>80.0</v>
      </c>
      <c r="F48" s="52">
        <v>65.0</v>
      </c>
      <c r="G48" s="52">
        <v>60.0</v>
      </c>
      <c r="H48" s="52">
        <v>80.0</v>
      </c>
      <c r="I48" s="52" t="str">
        <f>ABS('Student Calculator'!C30-D48)</f>
        <v>70</v>
      </c>
      <c r="J48" s="52" t="str">
        <f>ABS('Student Calculator'!D30-E48)</f>
        <v>80</v>
      </c>
      <c r="K48" s="52" t="str">
        <f>ABS('Student Calculator'!E30-F48)</f>
        <v>65</v>
      </c>
      <c r="L48" s="52" t="str">
        <f>ABS('Student Calculator'!F30-G48)</f>
        <v>60</v>
      </c>
      <c r="M48" s="55" t="str">
        <f t="shared" si="1"/>
        <v>38.3</v>
      </c>
      <c r="N48" s="56" t="str">
        <f t="shared" si="2"/>
        <v>🔴 MISMATCH</v>
      </c>
    </row>
    <row r="49" ht="19.5" customHeight="1">
      <c r="A49" s="57">
        <v>46.0</v>
      </c>
      <c r="B49" s="58" t="s">
        <v>349</v>
      </c>
      <c r="C49" s="59" t="s">
        <v>336</v>
      </c>
      <c r="D49" s="57">
        <v>50.0</v>
      </c>
      <c r="E49" s="57">
        <v>70.0</v>
      </c>
      <c r="F49" s="57">
        <v>70.0</v>
      </c>
      <c r="G49" s="57">
        <v>80.0</v>
      </c>
      <c r="H49" s="57">
        <v>80.0</v>
      </c>
      <c r="I49" s="57" t="str">
        <f>ABS('Student Calculator'!C30-D49)</f>
        <v>50</v>
      </c>
      <c r="J49" s="57" t="str">
        <f>ABS('Student Calculator'!D30-E49)</f>
        <v>70</v>
      </c>
      <c r="K49" s="57" t="str">
        <f>ABS('Student Calculator'!E30-F49)</f>
        <v>70</v>
      </c>
      <c r="L49" s="57" t="str">
        <f>ABS('Student Calculator'!F30-G49)</f>
        <v>80</v>
      </c>
      <c r="M49" s="60" t="str">
        <f t="shared" si="1"/>
        <v>40</v>
      </c>
      <c r="N49" s="61" t="str">
        <f t="shared" si="2"/>
        <v>🔴 MISMATCH</v>
      </c>
    </row>
    <row r="50" ht="19.5" customHeight="1">
      <c r="A50" s="52">
        <v>47.0</v>
      </c>
      <c r="B50" s="53" t="s">
        <v>350</v>
      </c>
      <c r="C50" s="54" t="s">
        <v>336</v>
      </c>
      <c r="D50" s="52">
        <v>65.0</v>
      </c>
      <c r="E50" s="52">
        <v>65.0</v>
      </c>
      <c r="F50" s="52">
        <v>75.0</v>
      </c>
      <c r="G50" s="52">
        <v>80.0</v>
      </c>
      <c r="H50" s="52">
        <v>80.0</v>
      </c>
      <c r="I50" s="52" t="str">
        <f>ABS('Student Calculator'!C30-D50)</f>
        <v>65</v>
      </c>
      <c r="J50" s="52" t="str">
        <f>ABS('Student Calculator'!D30-E50)</f>
        <v>65</v>
      </c>
      <c r="K50" s="52" t="str">
        <f>ABS('Student Calculator'!E30-F50)</f>
        <v>75</v>
      </c>
      <c r="L50" s="52" t="str">
        <f>ABS('Student Calculator'!F30-G50)</f>
        <v>80</v>
      </c>
      <c r="M50" s="55" t="str">
        <f t="shared" si="1"/>
        <v>36</v>
      </c>
      <c r="N50" s="56" t="str">
        <f t="shared" si="2"/>
        <v>🔴 MISMATCH</v>
      </c>
    </row>
    <row r="51" ht="19.5" customHeight="1">
      <c r="A51" s="57">
        <v>48.0</v>
      </c>
      <c r="B51" s="58" t="s">
        <v>351</v>
      </c>
      <c r="C51" s="59" t="s">
        <v>336</v>
      </c>
      <c r="D51" s="57">
        <v>65.0</v>
      </c>
      <c r="E51" s="57">
        <v>60.0</v>
      </c>
      <c r="F51" s="57">
        <v>75.0</v>
      </c>
      <c r="G51" s="57">
        <v>85.0</v>
      </c>
      <c r="H51" s="57">
        <v>75.0</v>
      </c>
      <c r="I51" s="57" t="str">
        <f>ABS('Student Calculator'!C30-D51)</f>
        <v>65</v>
      </c>
      <c r="J51" s="57" t="str">
        <f>ABS('Student Calculator'!D30-E51)</f>
        <v>60</v>
      </c>
      <c r="K51" s="57" t="str">
        <f>ABS('Student Calculator'!E30-F51)</f>
        <v>75</v>
      </c>
      <c r="L51" s="57" t="str">
        <f>ABS('Student Calculator'!F30-G51)</f>
        <v>85</v>
      </c>
      <c r="M51" s="60" t="str">
        <f t="shared" si="1"/>
        <v>36</v>
      </c>
      <c r="N51" s="61" t="str">
        <f t="shared" si="2"/>
        <v>🔴 MISMATCH</v>
      </c>
    </row>
    <row r="52" ht="19.5" customHeight="1">
      <c r="A52" s="52">
        <v>49.0</v>
      </c>
      <c r="B52" s="53" t="s">
        <v>352</v>
      </c>
      <c r="C52" s="54" t="s">
        <v>336</v>
      </c>
      <c r="D52" s="52">
        <v>55.0</v>
      </c>
      <c r="E52" s="52">
        <v>65.0</v>
      </c>
      <c r="F52" s="52">
        <v>70.0</v>
      </c>
      <c r="G52" s="52">
        <v>80.0</v>
      </c>
      <c r="H52" s="52">
        <v>75.0</v>
      </c>
      <c r="I52" s="52" t="str">
        <f>ABS('Student Calculator'!C30-D52)</f>
        <v>55</v>
      </c>
      <c r="J52" s="52" t="str">
        <f>ABS('Student Calculator'!D30-E52)</f>
        <v>65</v>
      </c>
      <c r="K52" s="52" t="str">
        <f>ABS('Student Calculator'!E30-F52)</f>
        <v>70</v>
      </c>
      <c r="L52" s="52" t="str">
        <f>ABS('Student Calculator'!F30-G52)</f>
        <v>80</v>
      </c>
      <c r="M52" s="55" t="str">
        <f t="shared" si="1"/>
        <v>39.8</v>
      </c>
      <c r="N52" s="56" t="str">
        <f t="shared" si="2"/>
        <v>🔴 MISMATCH</v>
      </c>
    </row>
    <row r="53" ht="19.5" customHeight="1">
      <c r="A53" s="57">
        <v>50.0</v>
      </c>
      <c r="B53" s="58" t="s">
        <v>353</v>
      </c>
      <c r="C53" s="59" t="s">
        <v>336</v>
      </c>
      <c r="D53" s="57">
        <v>75.0</v>
      </c>
      <c r="E53" s="57">
        <v>60.0</v>
      </c>
      <c r="F53" s="57">
        <v>75.0</v>
      </c>
      <c r="G53" s="57">
        <v>75.0</v>
      </c>
      <c r="H53" s="57">
        <v>75.0</v>
      </c>
      <c r="I53" s="57" t="str">
        <f>ABS('Student Calculator'!C30-D53)</f>
        <v>75</v>
      </c>
      <c r="J53" s="57" t="str">
        <f>ABS('Student Calculator'!D30-E53)</f>
        <v>60</v>
      </c>
      <c r="K53" s="57" t="str">
        <f>ABS('Student Calculator'!E30-F53)</f>
        <v>75</v>
      </c>
      <c r="L53" s="57" t="str">
        <f>ABS('Student Calculator'!F30-G53)</f>
        <v>75</v>
      </c>
      <c r="M53" s="60" t="str">
        <f t="shared" si="1"/>
        <v>35.5</v>
      </c>
      <c r="N53" s="61" t="str">
        <f t="shared" si="2"/>
        <v>🔴 MISMATCH</v>
      </c>
    </row>
    <row r="54" ht="19.5" customHeight="1">
      <c r="A54" s="52">
        <v>51.0</v>
      </c>
      <c r="B54" s="53" t="s">
        <v>354</v>
      </c>
      <c r="C54" s="54" t="s">
        <v>336</v>
      </c>
      <c r="D54" s="52">
        <v>70.0</v>
      </c>
      <c r="E54" s="52">
        <v>65.0</v>
      </c>
      <c r="F54" s="52">
        <v>65.0</v>
      </c>
      <c r="G54" s="52">
        <v>70.0</v>
      </c>
      <c r="H54" s="52">
        <v>70.0</v>
      </c>
      <c r="I54" s="52" t="str">
        <f>ABS('Student Calculator'!C30-D54)</f>
        <v>70</v>
      </c>
      <c r="J54" s="52" t="str">
        <f>ABS('Student Calculator'!D30-E54)</f>
        <v>65</v>
      </c>
      <c r="K54" s="52" t="str">
        <f>ABS('Student Calculator'!E30-F54)</f>
        <v>65</v>
      </c>
      <c r="L54" s="52" t="str">
        <f>ABS('Student Calculator'!F30-G54)</f>
        <v>70</v>
      </c>
      <c r="M54" s="55" t="str">
        <f t="shared" si="1"/>
        <v>39.3</v>
      </c>
      <c r="N54" s="56" t="str">
        <f t="shared" si="2"/>
        <v>🔴 MISMATCH</v>
      </c>
    </row>
    <row r="55" ht="19.5" customHeight="1">
      <c r="A55" s="57">
        <v>52.0</v>
      </c>
      <c r="B55" s="58" t="s">
        <v>355</v>
      </c>
      <c r="C55" s="59" t="s">
        <v>356</v>
      </c>
      <c r="D55" s="57">
        <v>55.0</v>
      </c>
      <c r="E55" s="57">
        <v>70.0</v>
      </c>
      <c r="F55" s="57">
        <v>75.0</v>
      </c>
      <c r="G55" s="57">
        <v>75.0</v>
      </c>
      <c r="H55" s="57">
        <v>85.0</v>
      </c>
      <c r="I55" s="57" t="str">
        <f>ABS('Student Calculator'!C30-D55)</f>
        <v>55</v>
      </c>
      <c r="J55" s="57" t="str">
        <f>ABS('Student Calculator'!D30-E55)</f>
        <v>70</v>
      </c>
      <c r="K55" s="57" t="str">
        <f>ABS('Student Calculator'!E30-F55)</f>
        <v>75</v>
      </c>
      <c r="L55" s="57" t="str">
        <f>ABS('Student Calculator'!F30-G55)</f>
        <v>75</v>
      </c>
      <c r="M55" s="60" t="str">
        <f t="shared" si="1"/>
        <v>38.5</v>
      </c>
      <c r="N55" s="61" t="str">
        <f t="shared" si="2"/>
        <v>🔴 MISMATCH</v>
      </c>
    </row>
    <row r="56" ht="19.5" customHeight="1">
      <c r="A56" s="52">
        <v>53.0</v>
      </c>
      <c r="B56" s="53" t="s">
        <v>357</v>
      </c>
      <c r="C56" s="54" t="s">
        <v>356</v>
      </c>
      <c r="D56" s="52">
        <v>45.0</v>
      </c>
      <c r="E56" s="52">
        <v>80.0</v>
      </c>
      <c r="F56" s="52">
        <v>70.0</v>
      </c>
      <c r="G56" s="52">
        <v>65.0</v>
      </c>
      <c r="H56" s="52">
        <v>90.0</v>
      </c>
      <c r="I56" s="52" t="str">
        <f>ABS('Student Calculator'!C30-D56)</f>
        <v>45</v>
      </c>
      <c r="J56" s="52" t="str">
        <f>ABS('Student Calculator'!D30-E56)</f>
        <v>80</v>
      </c>
      <c r="K56" s="52" t="str">
        <f>ABS('Student Calculator'!E30-F56)</f>
        <v>70</v>
      </c>
      <c r="L56" s="52" t="str">
        <f>ABS('Student Calculator'!F30-G56)</f>
        <v>65</v>
      </c>
      <c r="M56" s="55" t="str">
        <f t="shared" si="1"/>
        <v>42.3</v>
      </c>
      <c r="N56" s="56" t="str">
        <f t="shared" si="2"/>
        <v>🔴 MISMATCH</v>
      </c>
    </row>
    <row r="57" ht="19.5" customHeight="1">
      <c r="A57" s="57">
        <v>54.0</v>
      </c>
      <c r="B57" s="58" t="s">
        <v>358</v>
      </c>
      <c r="C57" s="59" t="s">
        <v>356</v>
      </c>
      <c r="D57" s="57">
        <v>55.0</v>
      </c>
      <c r="E57" s="57">
        <v>80.0</v>
      </c>
      <c r="F57" s="57">
        <v>75.0</v>
      </c>
      <c r="G57" s="57">
        <v>65.0</v>
      </c>
      <c r="H57" s="57">
        <v>90.0</v>
      </c>
      <c r="I57" s="57" t="str">
        <f>ABS('Student Calculator'!C30-D57)</f>
        <v>55</v>
      </c>
      <c r="J57" s="57" t="str">
        <f>ABS('Student Calculator'!D30-E57)</f>
        <v>80</v>
      </c>
      <c r="K57" s="57" t="str">
        <f>ABS('Student Calculator'!E30-F57)</f>
        <v>75</v>
      </c>
      <c r="L57" s="57" t="str">
        <f>ABS('Student Calculator'!F30-G57)</f>
        <v>65</v>
      </c>
      <c r="M57" s="60" t="str">
        <f t="shared" si="1"/>
        <v>38.5</v>
      </c>
      <c r="N57" s="61" t="str">
        <f t="shared" si="2"/>
        <v>🔴 MISMATCH</v>
      </c>
    </row>
    <row r="58" ht="19.5" customHeight="1">
      <c r="A58" s="52">
        <v>55.0</v>
      </c>
      <c r="B58" s="53" t="s">
        <v>359</v>
      </c>
      <c r="C58" s="54" t="s">
        <v>356</v>
      </c>
      <c r="D58" s="52">
        <v>60.0</v>
      </c>
      <c r="E58" s="52">
        <v>65.0</v>
      </c>
      <c r="F58" s="52">
        <v>75.0</v>
      </c>
      <c r="G58" s="52">
        <v>70.0</v>
      </c>
      <c r="H58" s="52">
        <v>85.0</v>
      </c>
      <c r="I58" s="52" t="str">
        <f>ABS('Student Calculator'!C30-D58)</f>
        <v>60</v>
      </c>
      <c r="J58" s="52" t="str">
        <f>ABS('Student Calculator'!D30-E58)</f>
        <v>65</v>
      </c>
      <c r="K58" s="52" t="str">
        <f>ABS('Student Calculator'!E30-F58)</f>
        <v>75</v>
      </c>
      <c r="L58" s="52" t="str">
        <f>ABS('Student Calculator'!F30-G58)</f>
        <v>70</v>
      </c>
      <c r="M58" s="55" t="str">
        <f t="shared" si="1"/>
        <v>39.3</v>
      </c>
      <c r="N58" s="56" t="str">
        <f t="shared" si="2"/>
        <v>🔴 MISMATCH</v>
      </c>
    </row>
    <row r="59" ht="19.5" customHeight="1">
      <c r="A59" s="57">
        <v>56.0</v>
      </c>
      <c r="B59" s="58" t="s">
        <v>360</v>
      </c>
      <c r="C59" s="59" t="s">
        <v>356</v>
      </c>
      <c r="D59" s="57">
        <v>40.0</v>
      </c>
      <c r="E59" s="57">
        <v>65.0</v>
      </c>
      <c r="F59" s="57">
        <v>85.0</v>
      </c>
      <c r="G59" s="57">
        <v>70.0</v>
      </c>
      <c r="H59" s="57">
        <v>85.0</v>
      </c>
      <c r="I59" s="57" t="str">
        <f>ABS('Student Calculator'!C30-D59)</f>
        <v>40</v>
      </c>
      <c r="J59" s="57" t="str">
        <f>ABS('Student Calculator'!D30-E59)</f>
        <v>65</v>
      </c>
      <c r="K59" s="57" t="str">
        <f>ABS('Student Calculator'!E30-F59)</f>
        <v>85</v>
      </c>
      <c r="L59" s="57" t="str">
        <f>ABS('Student Calculator'!F30-G59)</f>
        <v>70</v>
      </c>
      <c r="M59" s="60" t="str">
        <f t="shared" si="1"/>
        <v>41.8</v>
      </c>
      <c r="N59" s="61" t="str">
        <f t="shared" si="2"/>
        <v>🔴 MISMATCH</v>
      </c>
    </row>
    <row r="60" ht="19.5" customHeight="1">
      <c r="A60" s="52">
        <v>57.0</v>
      </c>
      <c r="B60" s="53" t="s">
        <v>361</v>
      </c>
      <c r="C60" s="54" t="s">
        <v>362</v>
      </c>
      <c r="D60" s="52">
        <v>60.0</v>
      </c>
      <c r="E60" s="52">
        <v>75.0</v>
      </c>
      <c r="F60" s="52">
        <v>80.0</v>
      </c>
      <c r="G60" s="52">
        <v>70.0</v>
      </c>
      <c r="H60" s="52">
        <v>90.0</v>
      </c>
      <c r="I60" s="52" t="str">
        <f>ABS('Student Calculator'!C30-D60)</f>
        <v>60</v>
      </c>
      <c r="J60" s="52" t="str">
        <f>ABS('Student Calculator'!D30-E60)</f>
        <v>75</v>
      </c>
      <c r="K60" s="52" t="str">
        <f>ABS('Student Calculator'!E30-F60)</f>
        <v>80</v>
      </c>
      <c r="L60" s="52" t="str">
        <f>ABS('Student Calculator'!F30-G60)</f>
        <v>70</v>
      </c>
      <c r="M60" s="55" t="str">
        <f t="shared" si="1"/>
        <v>36</v>
      </c>
      <c r="N60" s="56" t="str">
        <f t="shared" si="2"/>
        <v>🔴 MISMATCH</v>
      </c>
    </row>
    <row r="61" ht="19.5" customHeight="1">
      <c r="A61" s="57">
        <v>58.0</v>
      </c>
      <c r="B61" s="58" t="s">
        <v>363</v>
      </c>
      <c r="C61" s="59" t="s">
        <v>362</v>
      </c>
      <c r="D61" s="57">
        <v>55.0</v>
      </c>
      <c r="E61" s="57">
        <v>70.0</v>
      </c>
      <c r="F61" s="57">
        <v>80.0</v>
      </c>
      <c r="G61" s="57">
        <v>70.0</v>
      </c>
      <c r="H61" s="57">
        <v>90.0</v>
      </c>
      <c r="I61" s="57" t="str">
        <f>ABS('Student Calculator'!C30-D61)</f>
        <v>55</v>
      </c>
      <c r="J61" s="57" t="str">
        <f>ABS('Student Calculator'!D30-E61)</f>
        <v>70</v>
      </c>
      <c r="K61" s="57" t="str">
        <f>ABS('Student Calculator'!E30-F61)</f>
        <v>80</v>
      </c>
      <c r="L61" s="57" t="str">
        <f>ABS('Student Calculator'!F30-G61)</f>
        <v>70</v>
      </c>
      <c r="M61" s="60" t="str">
        <f t="shared" si="1"/>
        <v>38.3</v>
      </c>
      <c r="N61" s="61" t="str">
        <f t="shared" si="2"/>
        <v>🔴 MISMATCH</v>
      </c>
    </row>
    <row r="62" ht="19.5" customHeight="1">
      <c r="A62" s="52">
        <v>59.0</v>
      </c>
      <c r="B62" s="53" t="s">
        <v>364</v>
      </c>
      <c r="C62" s="54" t="s">
        <v>365</v>
      </c>
      <c r="D62" s="52">
        <v>45.0</v>
      </c>
      <c r="E62" s="52">
        <v>85.0</v>
      </c>
      <c r="F62" s="52">
        <v>80.0</v>
      </c>
      <c r="G62" s="52">
        <v>65.0</v>
      </c>
      <c r="H62" s="52">
        <v>90.0</v>
      </c>
      <c r="I62" s="52" t="str">
        <f>ABS('Student Calculator'!C30-D62)</f>
        <v>45</v>
      </c>
      <c r="J62" s="52" t="str">
        <f>ABS('Student Calculator'!D30-E62)</f>
        <v>85</v>
      </c>
      <c r="K62" s="52" t="str">
        <f>ABS('Student Calculator'!E30-F62)</f>
        <v>80</v>
      </c>
      <c r="L62" s="52" t="str">
        <f>ABS('Student Calculator'!F30-G62)</f>
        <v>65</v>
      </c>
      <c r="M62" s="55" t="str">
        <f t="shared" si="1"/>
        <v>38.8</v>
      </c>
      <c r="N62" s="56" t="str">
        <f t="shared" si="2"/>
        <v>🔴 MISMATCH</v>
      </c>
    </row>
    <row r="63" ht="19.5" customHeight="1">
      <c r="A63" s="57">
        <v>60.0</v>
      </c>
      <c r="B63" s="58" t="s">
        <v>366</v>
      </c>
      <c r="C63" s="59" t="s">
        <v>365</v>
      </c>
      <c r="D63" s="57">
        <v>60.0</v>
      </c>
      <c r="E63" s="57">
        <v>80.0</v>
      </c>
      <c r="F63" s="57">
        <v>75.0</v>
      </c>
      <c r="G63" s="57">
        <v>70.0</v>
      </c>
      <c r="H63" s="57">
        <v>85.0</v>
      </c>
      <c r="I63" s="57" t="str">
        <f>ABS('Student Calculator'!C30-D63)</f>
        <v>60</v>
      </c>
      <c r="J63" s="57" t="str">
        <f>ABS('Student Calculator'!D30-E63)</f>
        <v>80</v>
      </c>
      <c r="K63" s="57" t="str">
        <f>ABS('Student Calculator'!E30-F63)</f>
        <v>75</v>
      </c>
      <c r="L63" s="57" t="str">
        <f>ABS('Student Calculator'!F30-G63)</f>
        <v>70</v>
      </c>
      <c r="M63" s="60" t="str">
        <f t="shared" si="1"/>
        <v>36.3</v>
      </c>
      <c r="N63" s="61" t="str">
        <f t="shared" si="2"/>
        <v>🔴 MISMATCH</v>
      </c>
    </row>
    <row r="64" ht="19.5" customHeight="1">
      <c r="A64" s="52">
        <v>61.0</v>
      </c>
      <c r="B64" s="53" t="s">
        <v>367</v>
      </c>
      <c r="C64" s="54" t="s">
        <v>368</v>
      </c>
      <c r="D64" s="52">
        <v>85.0</v>
      </c>
      <c r="E64" s="52">
        <v>70.0</v>
      </c>
      <c r="F64" s="52">
        <v>75.0</v>
      </c>
      <c r="G64" s="52">
        <v>65.0</v>
      </c>
      <c r="H64" s="52">
        <v>85.0</v>
      </c>
      <c r="I64" s="52" t="str">
        <f>ABS('Student Calculator'!C30-D64)</f>
        <v>85</v>
      </c>
      <c r="J64" s="52" t="str">
        <f>ABS('Student Calculator'!D30-E64)</f>
        <v>70</v>
      </c>
      <c r="K64" s="52" t="str">
        <f>ABS('Student Calculator'!E30-F64)</f>
        <v>75</v>
      </c>
      <c r="L64" s="52" t="str">
        <f>ABS('Student Calculator'!F30-G64)</f>
        <v>65</v>
      </c>
      <c r="M64" s="55" t="str">
        <f t="shared" si="1"/>
        <v>33</v>
      </c>
      <c r="N64" s="56" t="str">
        <f t="shared" si="2"/>
        <v>🔴 MISMATCH</v>
      </c>
    </row>
    <row r="65" ht="19.5" customHeight="1">
      <c r="A65" s="57">
        <v>62.0</v>
      </c>
      <c r="B65" s="58" t="s">
        <v>369</v>
      </c>
      <c r="C65" s="59" t="s">
        <v>368</v>
      </c>
      <c r="D65" s="57">
        <v>85.0</v>
      </c>
      <c r="E65" s="57">
        <v>65.0</v>
      </c>
      <c r="F65" s="57">
        <v>70.0</v>
      </c>
      <c r="G65" s="57">
        <v>65.0</v>
      </c>
      <c r="H65" s="57">
        <v>80.0</v>
      </c>
      <c r="I65" s="57" t="str">
        <f>ABS('Student Calculator'!C30-D65)</f>
        <v>85</v>
      </c>
      <c r="J65" s="57" t="str">
        <f>ABS('Student Calculator'!D30-E65)</f>
        <v>65</v>
      </c>
      <c r="K65" s="57" t="str">
        <f>ABS('Student Calculator'!E30-F65)</f>
        <v>70</v>
      </c>
      <c r="L65" s="57" t="str">
        <f>ABS('Student Calculator'!F30-G65)</f>
        <v>65</v>
      </c>
      <c r="M65" s="60" t="str">
        <f t="shared" si="1"/>
        <v>35.3</v>
      </c>
      <c r="N65" s="61" t="str">
        <f t="shared" si="2"/>
        <v>🔴 MISMATCH</v>
      </c>
    </row>
    <row r="66" ht="19.5" customHeight="1">
      <c r="A66" s="52">
        <v>63.0</v>
      </c>
      <c r="B66" s="53" t="s">
        <v>370</v>
      </c>
      <c r="C66" s="54" t="s">
        <v>371</v>
      </c>
      <c r="D66" s="52">
        <v>45.0</v>
      </c>
      <c r="E66" s="52">
        <v>65.0</v>
      </c>
      <c r="F66" s="52">
        <v>80.0</v>
      </c>
      <c r="G66" s="52">
        <v>80.0</v>
      </c>
      <c r="H66" s="52">
        <v>75.0</v>
      </c>
      <c r="I66" s="52" t="str">
        <f>ABS('Student Calculator'!C30-D66)</f>
        <v>45</v>
      </c>
      <c r="J66" s="52" t="str">
        <f>ABS('Student Calculator'!D30-E66)</f>
        <v>65</v>
      </c>
      <c r="K66" s="52" t="str">
        <f>ABS('Student Calculator'!E30-F66)</f>
        <v>80</v>
      </c>
      <c r="L66" s="52" t="str">
        <f>ABS('Student Calculator'!F30-G66)</f>
        <v>80</v>
      </c>
      <c r="M66" s="55" t="str">
        <f t="shared" si="1"/>
        <v>39.8</v>
      </c>
      <c r="N66" s="56" t="str">
        <f t="shared" si="2"/>
        <v>🔴 MISMATCH</v>
      </c>
    </row>
    <row r="67" ht="19.5" customHeight="1">
      <c r="A67" s="57">
        <v>64.0</v>
      </c>
      <c r="B67" s="58" t="s">
        <v>372</v>
      </c>
      <c r="C67" s="59" t="s">
        <v>371</v>
      </c>
      <c r="D67" s="57">
        <v>35.0</v>
      </c>
      <c r="E67" s="57">
        <v>85.0</v>
      </c>
      <c r="F67" s="57">
        <v>85.0</v>
      </c>
      <c r="G67" s="57">
        <v>70.0</v>
      </c>
      <c r="H67" s="57">
        <v>85.0</v>
      </c>
      <c r="I67" s="57" t="str">
        <f>ABS('Student Calculator'!C30-D67)</f>
        <v>35</v>
      </c>
      <c r="J67" s="57" t="str">
        <f>ABS('Student Calculator'!D30-E67)</f>
        <v>85</v>
      </c>
      <c r="K67" s="57" t="str">
        <f>ABS('Student Calculator'!E30-F67)</f>
        <v>85</v>
      </c>
      <c r="L67" s="57" t="str">
        <f>ABS('Student Calculator'!F30-G67)</f>
        <v>70</v>
      </c>
      <c r="M67" s="60" t="str">
        <f t="shared" si="1"/>
        <v>39</v>
      </c>
      <c r="N67" s="61" t="str">
        <f t="shared" si="2"/>
        <v>🔴 MISMATCH</v>
      </c>
    </row>
    <row r="68" ht="19.5" customHeight="1">
      <c r="A68" s="52">
        <v>65.0</v>
      </c>
      <c r="B68" s="53" t="s">
        <v>373</v>
      </c>
      <c r="C68" s="54" t="s">
        <v>371</v>
      </c>
      <c r="D68" s="52">
        <v>45.0</v>
      </c>
      <c r="E68" s="52">
        <v>75.0</v>
      </c>
      <c r="F68" s="52">
        <v>80.0</v>
      </c>
      <c r="G68" s="52">
        <v>80.0</v>
      </c>
      <c r="H68" s="52">
        <v>80.0</v>
      </c>
      <c r="I68" s="52" t="str">
        <f>ABS('Student Calculator'!C30-D68)</f>
        <v>45</v>
      </c>
      <c r="J68" s="52" t="str">
        <f>ABS('Student Calculator'!D30-E68)</f>
        <v>75</v>
      </c>
      <c r="K68" s="52" t="str">
        <f>ABS('Student Calculator'!E30-F68)</f>
        <v>80</v>
      </c>
      <c r="L68" s="52" t="str">
        <f>ABS('Student Calculator'!F30-G68)</f>
        <v>80</v>
      </c>
      <c r="M68" s="55" t="str">
        <f t="shared" si="1"/>
        <v>37.8</v>
      </c>
      <c r="N68" s="56" t="str">
        <f t="shared" si="2"/>
        <v>🔴 MISMATCH</v>
      </c>
    </row>
    <row r="69" ht="19.5" customHeight="1">
      <c r="A69" s="57">
        <v>66.0</v>
      </c>
      <c r="B69" s="58" t="s">
        <v>374</v>
      </c>
      <c r="C69" s="59" t="s">
        <v>371</v>
      </c>
      <c r="D69" s="57">
        <v>50.0</v>
      </c>
      <c r="E69" s="57">
        <v>65.0</v>
      </c>
      <c r="F69" s="57">
        <v>85.0</v>
      </c>
      <c r="G69" s="57">
        <v>80.0</v>
      </c>
      <c r="H69" s="57">
        <v>70.0</v>
      </c>
      <c r="I69" s="57" t="str">
        <f>ABS('Student Calculator'!C30-D69)</f>
        <v>50</v>
      </c>
      <c r="J69" s="57" t="str">
        <f>ABS('Student Calculator'!D30-E69)</f>
        <v>65</v>
      </c>
      <c r="K69" s="57" t="str">
        <f>ABS('Student Calculator'!E30-F69)</f>
        <v>85</v>
      </c>
      <c r="L69" s="57" t="str">
        <f>ABS('Student Calculator'!F30-G69)</f>
        <v>80</v>
      </c>
      <c r="M69" s="60" t="str">
        <f t="shared" si="1"/>
        <v>37.3</v>
      </c>
      <c r="N69" s="61" t="str">
        <f t="shared" si="2"/>
        <v>🔴 MISMATCH</v>
      </c>
    </row>
    <row r="70" ht="19.5" customHeight="1">
      <c r="A70" s="52">
        <v>67.0</v>
      </c>
      <c r="B70" s="53" t="s">
        <v>375</v>
      </c>
      <c r="C70" s="54" t="s">
        <v>376</v>
      </c>
      <c r="D70" s="52">
        <v>40.0</v>
      </c>
      <c r="E70" s="52">
        <v>60.0</v>
      </c>
      <c r="F70" s="52">
        <v>85.0</v>
      </c>
      <c r="G70" s="52">
        <v>80.0</v>
      </c>
      <c r="H70" s="52">
        <v>65.0</v>
      </c>
      <c r="I70" s="52" t="str">
        <f>ABS('Student Calculator'!C30-D70)</f>
        <v>40</v>
      </c>
      <c r="J70" s="52" t="str">
        <f>ABS('Student Calculator'!D30-E70)</f>
        <v>60</v>
      </c>
      <c r="K70" s="52" t="str">
        <f>ABS('Student Calculator'!E30-F70)</f>
        <v>85</v>
      </c>
      <c r="L70" s="52" t="str">
        <f>ABS('Student Calculator'!F30-G70)</f>
        <v>80</v>
      </c>
      <c r="M70" s="55" t="str">
        <f t="shared" si="1"/>
        <v>40.8</v>
      </c>
      <c r="N70" s="56" t="str">
        <f t="shared" si="2"/>
        <v>🔴 MISMATCH</v>
      </c>
    </row>
    <row r="71" ht="19.5" customHeight="1">
      <c r="A71" s="57">
        <v>68.0</v>
      </c>
      <c r="B71" s="58" t="s">
        <v>377</v>
      </c>
      <c r="C71" s="59" t="s">
        <v>376</v>
      </c>
      <c r="D71" s="57">
        <v>45.0</v>
      </c>
      <c r="E71" s="57">
        <v>65.0</v>
      </c>
      <c r="F71" s="57">
        <v>85.0</v>
      </c>
      <c r="G71" s="57">
        <v>75.0</v>
      </c>
      <c r="H71" s="57">
        <v>75.0</v>
      </c>
      <c r="I71" s="57" t="str">
        <f>ABS('Student Calculator'!C30-D71)</f>
        <v>45</v>
      </c>
      <c r="J71" s="57" t="str">
        <f>ABS('Student Calculator'!D30-E71)</f>
        <v>65</v>
      </c>
      <c r="K71" s="57" t="str">
        <f>ABS('Student Calculator'!E30-F71)</f>
        <v>85</v>
      </c>
      <c r="L71" s="57" t="str">
        <f>ABS('Student Calculator'!F30-G71)</f>
        <v>75</v>
      </c>
      <c r="M71" s="60" t="str">
        <f t="shared" si="1"/>
        <v>39.5</v>
      </c>
      <c r="N71" s="61" t="str">
        <f t="shared" si="2"/>
        <v>🔴 MISMATCH</v>
      </c>
    </row>
    <row r="72" ht="19.5" customHeight="1">
      <c r="A72" s="52">
        <v>69.0</v>
      </c>
      <c r="B72" s="53" t="s">
        <v>378</v>
      </c>
      <c r="C72" s="54" t="s">
        <v>376</v>
      </c>
      <c r="D72" s="52">
        <v>45.0</v>
      </c>
      <c r="E72" s="52">
        <v>60.0</v>
      </c>
      <c r="F72" s="52">
        <v>80.0</v>
      </c>
      <c r="G72" s="52">
        <v>75.0</v>
      </c>
      <c r="H72" s="52">
        <v>70.0</v>
      </c>
      <c r="I72" s="52" t="str">
        <f>ABS('Student Calculator'!C30-D72)</f>
        <v>45</v>
      </c>
      <c r="J72" s="52" t="str">
        <f>ABS('Student Calculator'!D30-E72)</f>
        <v>60</v>
      </c>
      <c r="K72" s="52" t="str">
        <f>ABS('Student Calculator'!E30-F72)</f>
        <v>80</v>
      </c>
      <c r="L72" s="52" t="str">
        <f>ABS('Student Calculator'!F30-G72)</f>
        <v>75</v>
      </c>
      <c r="M72" s="55" t="str">
        <f t="shared" si="1"/>
        <v>41.8</v>
      </c>
      <c r="N72" s="56" t="str">
        <f t="shared" si="2"/>
        <v>🔴 MISMATCH</v>
      </c>
    </row>
    <row r="73" ht="19.5" customHeight="1">
      <c r="A73" s="57">
        <v>70.0</v>
      </c>
      <c r="B73" s="58" t="s">
        <v>379</v>
      </c>
      <c r="C73" s="59" t="s">
        <v>307</v>
      </c>
      <c r="D73" s="57">
        <v>40.0</v>
      </c>
      <c r="E73" s="57">
        <v>65.0</v>
      </c>
      <c r="F73" s="57">
        <v>85.0</v>
      </c>
      <c r="G73" s="57">
        <v>80.0</v>
      </c>
      <c r="H73" s="57">
        <v>75.0</v>
      </c>
      <c r="I73" s="57" t="str">
        <f>ABS('Student Calculator'!C30-D73)</f>
        <v>40</v>
      </c>
      <c r="J73" s="57" t="str">
        <f>ABS('Student Calculator'!D30-E73)</f>
        <v>65</v>
      </c>
      <c r="K73" s="57" t="str">
        <f>ABS('Student Calculator'!E30-F73)</f>
        <v>85</v>
      </c>
      <c r="L73" s="57" t="str">
        <f>ABS('Student Calculator'!F30-G73)</f>
        <v>80</v>
      </c>
      <c r="M73" s="60" t="str">
        <f t="shared" si="1"/>
        <v>39.8</v>
      </c>
      <c r="N73" s="61" t="str">
        <f t="shared" si="2"/>
        <v>🔴 MISMATCH</v>
      </c>
    </row>
    <row r="74" ht="19.5" customHeight="1">
      <c r="A74" s="52">
        <v>71.0</v>
      </c>
      <c r="B74" s="53" t="s">
        <v>380</v>
      </c>
      <c r="C74" s="54" t="s">
        <v>307</v>
      </c>
      <c r="D74" s="52">
        <v>50.0</v>
      </c>
      <c r="E74" s="52">
        <v>60.0</v>
      </c>
      <c r="F74" s="52">
        <v>85.0</v>
      </c>
      <c r="G74" s="52">
        <v>80.0</v>
      </c>
      <c r="H74" s="52">
        <v>70.0</v>
      </c>
      <c r="I74" s="52" t="str">
        <f>ABS('Student Calculator'!C30-D74)</f>
        <v>50</v>
      </c>
      <c r="J74" s="52" t="str">
        <f>ABS('Student Calculator'!D30-E74)</f>
        <v>60</v>
      </c>
      <c r="K74" s="52" t="str">
        <f>ABS('Student Calculator'!E30-F74)</f>
        <v>85</v>
      </c>
      <c r="L74" s="52" t="str">
        <f>ABS('Student Calculator'!F30-G74)</f>
        <v>80</v>
      </c>
      <c r="M74" s="55" t="str">
        <f t="shared" si="1"/>
        <v>38.3</v>
      </c>
      <c r="N74" s="56" t="str">
        <f t="shared" si="2"/>
        <v>🔴 MISMATCH</v>
      </c>
    </row>
    <row r="75" ht="19.5" customHeight="1">
      <c r="A75" s="57">
        <v>72.0</v>
      </c>
      <c r="B75" s="58" t="s">
        <v>381</v>
      </c>
      <c r="C75" s="59" t="s">
        <v>382</v>
      </c>
      <c r="D75" s="57">
        <v>60.0</v>
      </c>
      <c r="E75" s="57">
        <v>55.0</v>
      </c>
      <c r="F75" s="57">
        <v>80.0</v>
      </c>
      <c r="G75" s="57">
        <v>95.0</v>
      </c>
      <c r="H75" s="57">
        <v>65.0</v>
      </c>
      <c r="I75" s="57" t="str">
        <f>ABS('Student Calculator'!C30-D75)</f>
        <v>60</v>
      </c>
      <c r="J75" s="57" t="str">
        <f>ABS('Student Calculator'!D30-E75)</f>
        <v>55</v>
      </c>
      <c r="K75" s="57" t="str">
        <f>ABS('Student Calculator'!E30-F75)</f>
        <v>80</v>
      </c>
      <c r="L75" s="57" t="str">
        <f>ABS('Student Calculator'!F30-G75)</f>
        <v>95</v>
      </c>
      <c r="M75" s="60" t="str">
        <f t="shared" si="1"/>
        <v>35</v>
      </c>
      <c r="N75" s="61" t="str">
        <f t="shared" si="2"/>
        <v>🔴 MISMATCH</v>
      </c>
    </row>
    <row r="76" ht="19.5" customHeight="1">
      <c r="A76" s="52">
        <v>73.0</v>
      </c>
      <c r="B76" s="53" t="s">
        <v>383</v>
      </c>
      <c r="C76" s="54" t="s">
        <v>382</v>
      </c>
      <c r="D76" s="52">
        <v>65.0</v>
      </c>
      <c r="E76" s="52">
        <v>60.0</v>
      </c>
      <c r="F76" s="52">
        <v>75.0</v>
      </c>
      <c r="G76" s="52">
        <v>95.0</v>
      </c>
      <c r="H76" s="52">
        <v>65.0</v>
      </c>
      <c r="I76" s="52" t="str">
        <f>ABS('Student Calculator'!C30-D76)</f>
        <v>65</v>
      </c>
      <c r="J76" s="52" t="str">
        <f>ABS('Student Calculator'!D30-E76)</f>
        <v>60</v>
      </c>
      <c r="K76" s="52" t="str">
        <f>ABS('Student Calculator'!E30-F76)</f>
        <v>75</v>
      </c>
      <c r="L76" s="52" t="str">
        <f>ABS('Student Calculator'!F30-G76)</f>
        <v>95</v>
      </c>
      <c r="M76" s="55" t="str">
        <f t="shared" si="1"/>
        <v>34</v>
      </c>
      <c r="N76" s="56" t="str">
        <f t="shared" si="2"/>
        <v>🔴 MISMATCH</v>
      </c>
    </row>
    <row r="77" ht="19.5" customHeight="1">
      <c r="A77" s="57">
        <v>74.0</v>
      </c>
      <c r="B77" s="58" t="s">
        <v>384</v>
      </c>
      <c r="C77" s="59" t="s">
        <v>382</v>
      </c>
      <c r="D77" s="57">
        <v>65.0</v>
      </c>
      <c r="E77" s="57">
        <v>55.0</v>
      </c>
      <c r="F77" s="57">
        <v>85.0</v>
      </c>
      <c r="G77" s="57">
        <v>90.0</v>
      </c>
      <c r="H77" s="57">
        <v>70.0</v>
      </c>
      <c r="I77" s="57" t="str">
        <f>ABS('Student Calculator'!C30-D77)</f>
        <v>65</v>
      </c>
      <c r="J77" s="57" t="str">
        <f>ABS('Student Calculator'!D30-E77)</f>
        <v>55</v>
      </c>
      <c r="K77" s="57" t="str">
        <f>ABS('Student Calculator'!E30-F77)</f>
        <v>85</v>
      </c>
      <c r="L77" s="57" t="str">
        <f>ABS('Student Calculator'!F30-G77)</f>
        <v>90</v>
      </c>
      <c r="M77" s="60" t="str">
        <f t="shared" si="1"/>
        <v>33.5</v>
      </c>
      <c r="N77" s="61" t="str">
        <f t="shared" si="2"/>
        <v>🔴 MISMATCH</v>
      </c>
    </row>
    <row r="78" ht="19.5" customHeight="1">
      <c r="A78" s="52">
        <v>75.0</v>
      </c>
      <c r="B78" s="53" t="s">
        <v>385</v>
      </c>
      <c r="C78" s="54" t="s">
        <v>382</v>
      </c>
      <c r="D78" s="52">
        <v>35.0</v>
      </c>
      <c r="E78" s="52">
        <v>55.0</v>
      </c>
      <c r="F78" s="52">
        <v>85.0</v>
      </c>
      <c r="G78" s="52">
        <v>90.0</v>
      </c>
      <c r="H78" s="52">
        <v>65.0</v>
      </c>
      <c r="I78" s="52" t="str">
        <f>ABS('Student Calculator'!C30-D78)</f>
        <v>35</v>
      </c>
      <c r="J78" s="52" t="str">
        <f>ABS('Student Calculator'!D30-E78)</f>
        <v>55</v>
      </c>
      <c r="K78" s="52" t="str">
        <f>ABS('Student Calculator'!E30-F78)</f>
        <v>85</v>
      </c>
      <c r="L78" s="52" t="str">
        <f>ABS('Student Calculator'!F30-G78)</f>
        <v>90</v>
      </c>
      <c r="M78" s="55" t="str">
        <f t="shared" si="1"/>
        <v>41</v>
      </c>
      <c r="N78" s="56" t="str">
        <f t="shared" si="2"/>
        <v>🔴 MISMATCH</v>
      </c>
    </row>
    <row r="79" ht="19.5" customHeight="1">
      <c r="A79" s="57">
        <v>76.0</v>
      </c>
      <c r="B79" s="58" t="s">
        <v>386</v>
      </c>
      <c r="C79" s="59" t="s">
        <v>387</v>
      </c>
      <c r="D79" s="57">
        <v>50.0</v>
      </c>
      <c r="E79" s="57">
        <v>65.0</v>
      </c>
      <c r="F79" s="57">
        <v>80.0</v>
      </c>
      <c r="G79" s="57">
        <v>85.0</v>
      </c>
      <c r="H79" s="57">
        <v>75.0</v>
      </c>
      <c r="I79" s="57" t="str">
        <f>ABS('Student Calculator'!C30-D79)</f>
        <v>50</v>
      </c>
      <c r="J79" s="57" t="str">
        <f>ABS('Student Calculator'!D30-E79)</f>
        <v>65</v>
      </c>
      <c r="K79" s="57" t="str">
        <f>ABS('Student Calculator'!E30-F79)</f>
        <v>80</v>
      </c>
      <c r="L79" s="57" t="str">
        <f>ABS('Student Calculator'!F30-G79)</f>
        <v>85</v>
      </c>
      <c r="M79" s="60" t="str">
        <f t="shared" si="1"/>
        <v>37.5</v>
      </c>
      <c r="N79" s="61" t="str">
        <f t="shared" si="2"/>
        <v>🔴 MISMATCH</v>
      </c>
    </row>
    <row r="80" ht="19.5" customHeight="1">
      <c r="A80" s="52">
        <v>77.0</v>
      </c>
      <c r="B80" s="53" t="s">
        <v>388</v>
      </c>
      <c r="C80" s="54" t="s">
        <v>387</v>
      </c>
      <c r="D80" s="52">
        <v>65.0</v>
      </c>
      <c r="E80" s="52">
        <v>45.0</v>
      </c>
      <c r="F80" s="52">
        <v>80.0</v>
      </c>
      <c r="G80" s="52">
        <v>85.0</v>
      </c>
      <c r="H80" s="52">
        <v>60.0</v>
      </c>
      <c r="I80" s="52" t="str">
        <f>ABS('Student Calculator'!C30-D80)</f>
        <v>65</v>
      </c>
      <c r="J80" s="52" t="str">
        <f>ABS('Student Calculator'!D30-E80)</f>
        <v>45</v>
      </c>
      <c r="K80" s="52" t="str">
        <f>ABS('Student Calculator'!E30-F80)</f>
        <v>80</v>
      </c>
      <c r="L80" s="52" t="str">
        <f>ABS('Student Calculator'!F30-G80)</f>
        <v>85</v>
      </c>
      <c r="M80" s="55" t="str">
        <f t="shared" si="1"/>
        <v>37.8</v>
      </c>
      <c r="N80" s="56" t="str">
        <f t="shared" si="2"/>
        <v>🔴 MISMATCH</v>
      </c>
    </row>
    <row r="81" ht="19.5" customHeight="1">
      <c r="A81" s="57">
        <v>78.0</v>
      </c>
      <c r="B81" s="58" t="s">
        <v>389</v>
      </c>
      <c r="C81" s="59" t="s">
        <v>382</v>
      </c>
      <c r="D81" s="57">
        <v>70.0</v>
      </c>
      <c r="E81" s="57">
        <v>55.0</v>
      </c>
      <c r="F81" s="57">
        <v>80.0</v>
      </c>
      <c r="G81" s="57">
        <v>90.0</v>
      </c>
      <c r="H81" s="57">
        <v>60.0</v>
      </c>
      <c r="I81" s="57" t="str">
        <f>ABS('Student Calculator'!C30-D81)</f>
        <v>70</v>
      </c>
      <c r="J81" s="57" t="str">
        <f>ABS('Student Calculator'!D30-E81)</f>
        <v>55</v>
      </c>
      <c r="K81" s="57" t="str">
        <f>ABS('Student Calculator'!E30-F81)</f>
        <v>80</v>
      </c>
      <c r="L81" s="57" t="str">
        <f>ABS('Student Calculator'!F30-G81)</f>
        <v>90</v>
      </c>
      <c r="M81" s="60" t="str">
        <f t="shared" si="1"/>
        <v>33.5</v>
      </c>
      <c r="N81" s="61" t="str">
        <f t="shared" si="2"/>
        <v>🔴 MISMATCH</v>
      </c>
    </row>
    <row r="82" ht="19.5" customHeight="1">
      <c r="A82" s="52">
        <v>79.0</v>
      </c>
      <c r="B82" s="53" t="s">
        <v>390</v>
      </c>
      <c r="C82" s="54" t="s">
        <v>382</v>
      </c>
      <c r="D82" s="52">
        <v>65.0</v>
      </c>
      <c r="E82" s="52">
        <v>55.0</v>
      </c>
      <c r="F82" s="52">
        <v>80.0</v>
      </c>
      <c r="G82" s="52">
        <v>95.0</v>
      </c>
      <c r="H82" s="52">
        <v>65.0</v>
      </c>
      <c r="I82" s="52" t="str">
        <f>ABS('Student Calculator'!C30-D82)</f>
        <v>65</v>
      </c>
      <c r="J82" s="52" t="str">
        <f>ABS('Student Calculator'!D30-E82)</f>
        <v>55</v>
      </c>
      <c r="K82" s="52" t="str">
        <f>ABS('Student Calculator'!E30-F82)</f>
        <v>80</v>
      </c>
      <c r="L82" s="52" t="str">
        <f>ABS('Student Calculator'!F30-G82)</f>
        <v>95</v>
      </c>
      <c r="M82" s="55" t="str">
        <f t="shared" si="1"/>
        <v>33.8</v>
      </c>
      <c r="N82" s="56" t="str">
        <f t="shared" si="2"/>
        <v>🔴 MISMATCH</v>
      </c>
    </row>
    <row r="83" ht="19.5" customHeight="1">
      <c r="A83" s="57">
        <v>80.0</v>
      </c>
      <c r="B83" s="58" t="s">
        <v>391</v>
      </c>
      <c r="C83" s="59" t="s">
        <v>334</v>
      </c>
      <c r="D83" s="57">
        <v>75.0</v>
      </c>
      <c r="E83" s="57">
        <v>75.0</v>
      </c>
      <c r="F83" s="57">
        <v>80.0</v>
      </c>
      <c r="G83" s="57">
        <v>90.0</v>
      </c>
      <c r="H83" s="57">
        <v>80.0</v>
      </c>
      <c r="I83" s="57" t="str">
        <f>ABS('Student Calculator'!C30-D83)</f>
        <v>75</v>
      </c>
      <c r="J83" s="57" t="str">
        <f>ABS('Student Calculator'!D30-E83)</f>
        <v>75</v>
      </c>
      <c r="K83" s="57" t="str">
        <f>ABS('Student Calculator'!E30-F83)</f>
        <v>80</v>
      </c>
      <c r="L83" s="57" t="str">
        <f>ABS('Student Calculator'!F30-G83)</f>
        <v>90</v>
      </c>
      <c r="M83" s="60" t="str">
        <f t="shared" si="1"/>
        <v>28.3</v>
      </c>
      <c r="N83" s="61" t="str">
        <f t="shared" si="2"/>
        <v>🔴 MISMATCH</v>
      </c>
    </row>
    <row r="84" ht="19.5" customHeight="1">
      <c r="A84" s="52">
        <v>81.0</v>
      </c>
      <c r="B84" s="53" t="s">
        <v>392</v>
      </c>
      <c r="C84" s="54" t="s">
        <v>334</v>
      </c>
      <c r="D84" s="52">
        <v>70.0</v>
      </c>
      <c r="E84" s="52">
        <v>60.0</v>
      </c>
      <c r="F84" s="52">
        <v>75.0</v>
      </c>
      <c r="G84" s="52">
        <v>90.0</v>
      </c>
      <c r="H84" s="52">
        <v>70.0</v>
      </c>
      <c r="I84" s="52" t="str">
        <f>ABS('Student Calculator'!C30-D84)</f>
        <v>70</v>
      </c>
      <c r="J84" s="52" t="str">
        <f>ABS('Student Calculator'!D30-E84)</f>
        <v>60</v>
      </c>
      <c r="K84" s="52" t="str">
        <f>ABS('Student Calculator'!E30-F84)</f>
        <v>75</v>
      </c>
      <c r="L84" s="52" t="str">
        <f>ABS('Student Calculator'!F30-G84)</f>
        <v>90</v>
      </c>
      <c r="M84" s="55" t="str">
        <f t="shared" si="1"/>
        <v>33.8</v>
      </c>
      <c r="N84" s="56" t="str">
        <f t="shared" si="2"/>
        <v>🔴 MISMATCH</v>
      </c>
    </row>
    <row r="85" ht="19.5" customHeight="1">
      <c r="A85" s="57">
        <v>82.0</v>
      </c>
      <c r="B85" s="58" t="s">
        <v>393</v>
      </c>
      <c r="C85" s="59" t="s">
        <v>334</v>
      </c>
      <c r="D85" s="57">
        <v>75.0</v>
      </c>
      <c r="E85" s="57">
        <v>70.0</v>
      </c>
      <c r="F85" s="57">
        <v>75.0</v>
      </c>
      <c r="G85" s="57">
        <v>85.0</v>
      </c>
      <c r="H85" s="57">
        <v>75.0</v>
      </c>
      <c r="I85" s="57" t="str">
        <f>ABS('Student Calculator'!C30-D85)</f>
        <v>75</v>
      </c>
      <c r="J85" s="57" t="str">
        <f>ABS('Student Calculator'!D30-E85)</f>
        <v>70</v>
      </c>
      <c r="K85" s="57" t="str">
        <f>ABS('Student Calculator'!E30-F85)</f>
        <v>75</v>
      </c>
      <c r="L85" s="57" t="str">
        <f>ABS('Student Calculator'!F30-G85)</f>
        <v>85</v>
      </c>
      <c r="M85" s="60" t="str">
        <f t="shared" si="1"/>
        <v>31.5</v>
      </c>
      <c r="N85" s="61" t="str">
        <f t="shared" si="2"/>
        <v>🔴 MISMATCH</v>
      </c>
    </row>
    <row r="86" ht="19.5" customHeight="1">
      <c r="A86" s="52">
        <v>83.0</v>
      </c>
      <c r="B86" s="53" t="s">
        <v>394</v>
      </c>
      <c r="C86" s="54" t="s">
        <v>382</v>
      </c>
      <c r="D86" s="52">
        <v>55.0</v>
      </c>
      <c r="E86" s="52">
        <v>55.0</v>
      </c>
      <c r="F86" s="52">
        <v>85.0</v>
      </c>
      <c r="G86" s="52">
        <v>95.0</v>
      </c>
      <c r="H86" s="52">
        <v>65.0</v>
      </c>
      <c r="I86" s="52" t="str">
        <f>ABS('Student Calculator'!C30-D86)</f>
        <v>55</v>
      </c>
      <c r="J86" s="52" t="str">
        <f>ABS('Student Calculator'!D30-E86)</f>
        <v>55</v>
      </c>
      <c r="K86" s="52" t="str">
        <f>ABS('Student Calculator'!E30-F86)</f>
        <v>85</v>
      </c>
      <c r="L86" s="52" t="str">
        <f>ABS('Student Calculator'!F30-G86)</f>
        <v>95</v>
      </c>
      <c r="M86" s="55" t="str">
        <f t="shared" si="1"/>
        <v>35</v>
      </c>
      <c r="N86" s="56" t="str">
        <f t="shared" si="2"/>
        <v>🔴 MISMATCH</v>
      </c>
    </row>
    <row r="87" ht="19.5" customHeight="1">
      <c r="A87" s="57">
        <v>84.0</v>
      </c>
      <c r="B87" s="58" t="s">
        <v>395</v>
      </c>
      <c r="C87" s="59" t="s">
        <v>382</v>
      </c>
      <c r="D87" s="57">
        <v>55.0</v>
      </c>
      <c r="E87" s="57">
        <v>45.0</v>
      </c>
      <c r="F87" s="57">
        <v>85.0</v>
      </c>
      <c r="G87" s="57">
        <v>95.0</v>
      </c>
      <c r="H87" s="57">
        <v>55.0</v>
      </c>
      <c r="I87" s="57" t="str">
        <f>ABS('Student Calculator'!C30-D87)</f>
        <v>55</v>
      </c>
      <c r="J87" s="57" t="str">
        <f>ABS('Student Calculator'!D30-E87)</f>
        <v>45</v>
      </c>
      <c r="K87" s="57" t="str">
        <f>ABS('Student Calculator'!E30-F87)</f>
        <v>85</v>
      </c>
      <c r="L87" s="57" t="str">
        <f>ABS('Student Calculator'!F30-G87)</f>
        <v>95</v>
      </c>
      <c r="M87" s="60" t="str">
        <f t="shared" si="1"/>
        <v>37</v>
      </c>
      <c r="N87" s="61" t="str">
        <f t="shared" si="2"/>
        <v>🔴 MISMATCH</v>
      </c>
    </row>
    <row r="88" ht="19.5" customHeight="1">
      <c r="A88" s="52">
        <v>85.0</v>
      </c>
      <c r="B88" s="53" t="s">
        <v>396</v>
      </c>
      <c r="C88" s="54" t="s">
        <v>382</v>
      </c>
      <c r="D88" s="52">
        <v>60.0</v>
      </c>
      <c r="E88" s="52">
        <v>40.0</v>
      </c>
      <c r="F88" s="52">
        <v>85.0</v>
      </c>
      <c r="G88" s="52">
        <v>85.0</v>
      </c>
      <c r="H88" s="52">
        <v>55.0</v>
      </c>
      <c r="I88" s="52" t="str">
        <f>ABS('Student Calculator'!C30-D88)</f>
        <v>60</v>
      </c>
      <c r="J88" s="52" t="str">
        <f>ABS('Student Calculator'!D30-E88)</f>
        <v>40</v>
      </c>
      <c r="K88" s="52" t="str">
        <f>ABS('Student Calculator'!E30-F88)</f>
        <v>85</v>
      </c>
      <c r="L88" s="52" t="str">
        <f>ABS('Student Calculator'!F30-G88)</f>
        <v>85</v>
      </c>
      <c r="M88" s="55" t="str">
        <f t="shared" si="1"/>
        <v>38.8</v>
      </c>
      <c r="N88" s="56" t="str">
        <f t="shared" si="2"/>
        <v>🔴 MISMATCH</v>
      </c>
    </row>
    <row r="89" ht="19.5" customHeight="1">
      <c r="A89" s="57">
        <v>86.0</v>
      </c>
      <c r="B89" s="58" t="s">
        <v>397</v>
      </c>
      <c r="C89" s="59" t="s">
        <v>382</v>
      </c>
      <c r="D89" s="57">
        <v>80.0</v>
      </c>
      <c r="E89" s="57">
        <v>45.0</v>
      </c>
      <c r="F89" s="57">
        <v>85.0</v>
      </c>
      <c r="G89" s="57">
        <v>90.0</v>
      </c>
      <c r="H89" s="57">
        <v>55.0</v>
      </c>
      <c r="I89" s="57" t="str">
        <f>ABS('Student Calculator'!C30-D89)</f>
        <v>80</v>
      </c>
      <c r="J89" s="57" t="str">
        <f>ABS('Student Calculator'!D30-E89)</f>
        <v>45</v>
      </c>
      <c r="K89" s="57" t="str">
        <f>ABS('Student Calculator'!E30-F89)</f>
        <v>85</v>
      </c>
      <c r="L89" s="57" t="str">
        <f>ABS('Student Calculator'!F30-G89)</f>
        <v>90</v>
      </c>
      <c r="M89" s="60" t="str">
        <f t="shared" si="1"/>
        <v>31.8</v>
      </c>
      <c r="N89" s="61" t="str">
        <f t="shared" si="2"/>
        <v>🔴 MISMATCH</v>
      </c>
    </row>
    <row r="90" ht="19.5" customHeight="1">
      <c r="A90" s="52">
        <v>87.0</v>
      </c>
      <c r="B90" s="53" t="s">
        <v>398</v>
      </c>
      <c r="C90" s="54" t="s">
        <v>382</v>
      </c>
      <c r="D90" s="52">
        <v>25.0</v>
      </c>
      <c r="E90" s="52">
        <v>65.0</v>
      </c>
      <c r="F90" s="52">
        <v>90.0</v>
      </c>
      <c r="G90" s="52">
        <v>90.0</v>
      </c>
      <c r="H90" s="52">
        <v>70.0</v>
      </c>
      <c r="I90" s="52" t="str">
        <f>ABS('Student Calculator'!C30-D90)</f>
        <v>25</v>
      </c>
      <c r="J90" s="52" t="str">
        <f>ABS('Student Calculator'!D30-E90)</f>
        <v>65</v>
      </c>
      <c r="K90" s="52" t="str">
        <f>ABS('Student Calculator'!E30-F90)</f>
        <v>90</v>
      </c>
      <c r="L90" s="52" t="str">
        <f>ABS('Student Calculator'!F30-G90)</f>
        <v>90</v>
      </c>
      <c r="M90" s="55" t="str">
        <f t="shared" si="1"/>
        <v>40.3</v>
      </c>
      <c r="N90" s="56" t="str">
        <f t="shared" si="2"/>
        <v>🔴 MISMATCH</v>
      </c>
    </row>
    <row r="91" ht="19.5" customHeight="1">
      <c r="A91" s="57">
        <v>88.0</v>
      </c>
      <c r="B91" s="58" t="s">
        <v>399</v>
      </c>
      <c r="C91" s="59" t="s">
        <v>382</v>
      </c>
      <c r="D91" s="57">
        <v>25.0</v>
      </c>
      <c r="E91" s="57">
        <v>55.0</v>
      </c>
      <c r="F91" s="57">
        <v>85.0</v>
      </c>
      <c r="G91" s="57">
        <v>90.0</v>
      </c>
      <c r="H91" s="57">
        <v>55.0</v>
      </c>
      <c r="I91" s="57" t="str">
        <f>ABS('Student Calculator'!C30-D91)</f>
        <v>25</v>
      </c>
      <c r="J91" s="57" t="str">
        <f>ABS('Student Calculator'!D30-E91)</f>
        <v>55</v>
      </c>
      <c r="K91" s="57" t="str">
        <f>ABS('Student Calculator'!E30-F91)</f>
        <v>85</v>
      </c>
      <c r="L91" s="57" t="str">
        <f>ABS('Student Calculator'!F30-G91)</f>
        <v>90</v>
      </c>
      <c r="M91" s="60" t="str">
        <f t="shared" si="1"/>
        <v>43.5</v>
      </c>
      <c r="N91" s="61" t="str">
        <f t="shared" si="2"/>
        <v>🔴 MISMATCH</v>
      </c>
    </row>
    <row r="92" ht="19.5" customHeight="1">
      <c r="A92" s="52">
        <v>89.0</v>
      </c>
      <c r="B92" s="53" t="s">
        <v>400</v>
      </c>
      <c r="C92" s="54" t="s">
        <v>326</v>
      </c>
      <c r="D92" s="52">
        <v>60.0</v>
      </c>
      <c r="E92" s="52">
        <v>70.0</v>
      </c>
      <c r="F92" s="52">
        <v>80.0</v>
      </c>
      <c r="G92" s="52">
        <v>90.0</v>
      </c>
      <c r="H92" s="52">
        <v>75.0</v>
      </c>
      <c r="I92" s="52" t="str">
        <f>ABS('Student Calculator'!C30-D92)</f>
        <v>60</v>
      </c>
      <c r="J92" s="52" t="str">
        <f>ABS('Student Calculator'!D30-E92)</f>
        <v>70</v>
      </c>
      <c r="K92" s="52" t="str">
        <f>ABS('Student Calculator'!E30-F92)</f>
        <v>80</v>
      </c>
      <c r="L92" s="52" t="str">
        <f>ABS('Student Calculator'!F30-G92)</f>
        <v>90</v>
      </c>
      <c r="M92" s="55" t="str">
        <f t="shared" si="1"/>
        <v>33</v>
      </c>
      <c r="N92" s="56" t="str">
        <f t="shared" si="2"/>
        <v>🔴 MISMATCH</v>
      </c>
    </row>
    <row r="93" ht="19.5" customHeight="1">
      <c r="A93" s="57">
        <v>90.0</v>
      </c>
      <c r="B93" s="58" t="s">
        <v>401</v>
      </c>
      <c r="C93" s="59" t="s">
        <v>402</v>
      </c>
      <c r="D93" s="57">
        <v>95.0</v>
      </c>
      <c r="E93" s="57">
        <v>55.0</v>
      </c>
      <c r="F93" s="57">
        <v>80.0</v>
      </c>
      <c r="G93" s="57">
        <v>75.0</v>
      </c>
      <c r="H93" s="57">
        <v>70.0</v>
      </c>
      <c r="I93" s="57" t="str">
        <f>ABS('Student Calculator'!C30-D93)</f>
        <v>95</v>
      </c>
      <c r="J93" s="57" t="str">
        <f>ABS('Student Calculator'!D30-E93)</f>
        <v>55</v>
      </c>
      <c r="K93" s="57" t="str">
        <f>ABS('Student Calculator'!E30-F93)</f>
        <v>80</v>
      </c>
      <c r="L93" s="57" t="str">
        <f>ABS('Student Calculator'!F30-G93)</f>
        <v>75</v>
      </c>
      <c r="M93" s="60" t="str">
        <f t="shared" si="1"/>
        <v>30.3</v>
      </c>
      <c r="N93" s="61" t="str">
        <f t="shared" si="2"/>
        <v>🔴 MISMATCH</v>
      </c>
    </row>
    <row r="94" ht="19.5" customHeight="1">
      <c r="A94" s="52">
        <v>91.0</v>
      </c>
      <c r="B94" s="53" t="s">
        <v>403</v>
      </c>
      <c r="C94" s="54" t="s">
        <v>402</v>
      </c>
      <c r="D94" s="52">
        <v>85.0</v>
      </c>
      <c r="E94" s="52">
        <v>60.0</v>
      </c>
      <c r="F94" s="52">
        <v>80.0</v>
      </c>
      <c r="G94" s="52">
        <v>80.0</v>
      </c>
      <c r="H94" s="52">
        <v>75.0</v>
      </c>
      <c r="I94" s="52" t="str">
        <f>ABS('Student Calculator'!C30-D94)</f>
        <v>85</v>
      </c>
      <c r="J94" s="52" t="str">
        <f>ABS('Student Calculator'!D30-E94)</f>
        <v>60</v>
      </c>
      <c r="K94" s="52" t="str">
        <f>ABS('Student Calculator'!E30-F94)</f>
        <v>80</v>
      </c>
      <c r="L94" s="52" t="str">
        <f>ABS('Student Calculator'!F30-G94)</f>
        <v>80</v>
      </c>
      <c r="M94" s="55" t="str">
        <f t="shared" si="1"/>
        <v>30.8</v>
      </c>
      <c r="N94" s="56" t="str">
        <f t="shared" si="2"/>
        <v>🔴 MISMATCH</v>
      </c>
    </row>
    <row r="95" ht="19.5" customHeight="1">
      <c r="A95" s="57">
        <v>92.0</v>
      </c>
      <c r="B95" s="58" t="s">
        <v>404</v>
      </c>
      <c r="C95" s="59" t="s">
        <v>402</v>
      </c>
      <c r="D95" s="57">
        <v>85.0</v>
      </c>
      <c r="E95" s="57">
        <v>65.0</v>
      </c>
      <c r="F95" s="57">
        <v>75.0</v>
      </c>
      <c r="G95" s="57">
        <v>75.0</v>
      </c>
      <c r="H95" s="57">
        <v>70.0</v>
      </c>
      <c r="I95" s="57" t="str">
        <f>ABS('Student Calculator'!C30-D95)</f>
        <v>85</v>
      </c>
      <c r="J95" s="57" t="str">
        <f>ABS('Student Calculator'!D30-E95)</f>
        <v>65</v>
      </c>
      <c r="K95" s="57" t="str">
        <f>ABS('Student Calculator'!E30-F95)</f>
        <v>75</v>
      </c>
      <c r="L95" s="57" t="str">
        <f>ABS('Student Calculator'!F30-G95)</f>
        <v>75</v>
      </c>
      <c r="M95" s="60" t="str">
        <f t="shared" si="1"/>
        <v>32</v>
      </c>
      <c r="N95" s="61" t="str">
        <f t="shared" si="2"/>
        <v>🔴 MISMATCH</v>
      </c>
    </row>
    <row r="96" ht="19.5" customHeight="1">
      <c r="A96" s="52">
        <v>93.0</v>
      </c>
      <c r="B96" s="53" t="s">
        <v>405</v>
      </c>
      <c r="C96" s="54" t="s">
        <v>402</v>
      </c>
      <c r="D96" s="52">
        <v>70.0</v>
      </c>
      <c r="E96" s="52">
        <v>60.0</v>
      </c>
      <c r="F96" s="52">
        <v>75.0</v>
      </c>
      <c r="G96" s="52">
        <v>70.0</v>
      </c>
      <c r="H96" s="52">
        <v>75.0</v>
      </c>
      <c r="I96" s="52" t="str">
        <f>ABS('Student Calculator'!C30-D96)</f>
        <v>70</v>
      </c>
      <c r="J96" s="52" t="str">
        <f>ABS('Student Calculator'!D30-E96)</f>
        <v>60</v>
      </c>
      <c r="K96" s="52" t="str">
        <f>ABS('Student Calculator'!E30-F96)</f>
        <v>75</v>
      </c>
      <c r="L96" s="52" t="str">
        <f>ABS('Student Calculator'!F30-G96)</f>
        <v>70</v>
      </c>
      <c r="M96" s="55" t="str">
        <f t="shared" si="1"/>
        <v>37.8</v>
      </c>
      <c r="N96" s="56" t="str">
        <f t="shared" si="2"/>
        <v>🔴 MISMATCH</v>
      </c>
    </row>
    <row r="97" ht="19.5" customHeight="1">
      <c r="A97" s="57">
        <v>94.0</v>
      </c>
      <c r="B97" s="58" t="s">
        <v>406</v>
      </c>
      <c r="C97" s="59" t="s">
        <v>402</v>
      </c>
      <c r="D97" s="57">
        <v>80.0</v>
      </c>
      <c r="E97" s="57">
        <v>60.0</v>
      </c>
      <c r="F97" s="57">
        <v>75.0</v>
      </c>
      <c r="G97" s="57">
        <v>70.0</v>
      </c>
      <c r="H97" s="57">
        <v>65.0</v>
      </c>
      <c r="I97" s="57" t="str">
        <f>ABS('Student Calculator'!C30-D97)</f>
        <v>80</v>
      </c>
      <c r="J97" s="57" t="str">
        <f>ABS('Student Calculator'!D30-E97)</f>
        <v>60</v>
      </c>
      <c r="K97" s="57" t="str">
        <f>ABS('Student Calculator'!E30-F97)</f>
        <v>75</v>
      </c>
      <c r="L97" s="57" t="str">
        <f>ABS('Student Calculator'!F30-G97)</f>
        <v>70</v>
      </c>
      <c r="M97" s="60" t="str">
        <f t="shared" si="1"/>
        <v>35.3</v>
      </c>
      <c r="N97" s="61" t="str">
        <f t="shared" si="2"/>
        <v>🔴 MISMATCH</v>
      </c>
    </row>
    <row r="98" ht="19.5" customHeight="1">
      <c r="A98" s="52">
        <v>95.0</v>
      </c>
      <c r="B98" s="53" t="s">
        <v>407</v>
      </c>
      <c r="C98" s="54" t="s">
        <v>408</v>
      </c>
      <c r="D98" s="52">
        <v>70.0</v>
      </c>
      <c r="E98" s="52">
        <v>65.0</v>
      </c>
      <c r="F98" s="52">
        <v>70.0</v>
      </c>
      <c r="G98" s="52">
        <v>70.0</v>
      </c>
      <c r="H98" s="52">
        <v>80.0</v>
      </c>
      <c r="I98" s="52" t="str">
        <f>ABS('Student Calculator'!C30-D98)</f>
        <v>70</v>
      </c>
      <c r="J98" s="52" t="str">
        <f>ABS('Student Calculator'!D30-E98)</f>
        <v>65</v>
      </c>
      <c r="K98" s="52" t="str">
        <f>ABS('Student Calculator'!E30-F98)</f>
        <v>70</v>
      </c>
      <c r="L98" s="52" t="str">
        <f>ABS('Student Calculator'!F30-G98)</f>
        <v>70</v>
      </c>
      <c r="M98" s="55" t="str">
        <f t="shared" si="1"/>
        <v>38</v>
      </c>
      <c r="N98" s="56" t="str">
        <f t="shared" si="2"/>
        <v>🔴 MISMATCH</v>
      </c>
    </row>
    <row r="99" ht="19.5" customHeight="1">
      <c r="A99" s="57">
        <v>96.0</v>
      </c>
      <c r="B99" s="58" t="s">
        <v>409</v>
      </c>
      <c r="C99" s="59" t="s">
        <v>408</v>
      </c>
      <c r="D99" s="57">
        <v>80.0</v>
      </c>
      <c r="E99" s="57">
        <v>55.0</v>
      </c>
      <c r="F99" s="57">
        <v>80.0</v>
      </c>
      <c r="G99" s="57">
        <v>80.0</v>
      </c>
      <c r="H99" s="57">
        <v>65.0</v>
      </c>
      <c r="I99" s="57" t="str">
        <f>ABS('Student Calculator'!C30-D99)</f>
        <v>80</v>
      </c>
      <c r="J99" s="57" t="str">
        <f>ABS('Student Calculator'!D30-E99)</f>
        <v>55</v>
      </c>
      <c r="K99" s="57" t="str">
        <f>ABS('Student Calculator'!E30-F99)</f>
        <v>80</v>
      </c>
      <c r="L99" s="57" t="str">
        <f>ABS('Student Calculator'!F30-G99)</f>
        <v>80</v>
      </c>
      <c r="M99" s="60" t="str">
        <f t="shared" si="1"/>
        <v>33</v>
      </c>
      <c r="N99" s="61" t="str">
        <f t="shared" si="2"/>
        <v>🔴 MISMATCH</v>
      </c>
    </row>
    <row r="100" ht="19.5" customHeight="1">
      <c r="A100" s="52">
        <v>97.0</v>
      </c>
      <c r="B100" s="53" t="s">
        <v>410</v>
      </c>
      <c r="C100" s="54" t="s">
        <v>408</v>
      </c>
      <c r="D100" s="52">
        <v>70.0</v>
      </c>
      <c r="E100" s="52">
        <v>60.0</v>
      </c>
      <c r="F100" s="52">
        <v>75.0</v>
      </c>
      <c r="G100" s="52">
        <v>75.0</v>
      </c>
      <c r="H100" s="52">
        <v>80.0</v>
      </c>
      <c r="I100" s="52" t="str">
        <f>ABS('Student Calculator'!C30-D100)</f>
        <v>70</v>
      </c>
      <c r="J100" s="52" t="str">
        <f>ABS('Student Calculator'!D30-E100)</f>
        <v>60</v>
      </c>
      <c r="K100" s="52" t="str">
        <f>ABS('Student Calculator'!E30-F100)</f>
        <v>75</v>
      </c>
      <c r="L100" s="52" t="str">
        <f>ABS('Student Calculator'!F30-G100)</f>
        <v>75</v>
      </c>
      <c r="M100" s="55" t="str">
        <f t="shared" si="1"/>
        <v>36.8</v>
      </c>
      <c r="N100" s="56" t="str">
        <f t="shared" si="2"/>
        <v>🔴 MISMATCH</v>
      </c>
    </row>
    <row r="101" ht="19.5" customHeight="1">
      <c r="A101" s="57">
        <v>98.0</v>
      </c>
      <c r="B101" s="58" t="s">
        <v>411</v>
      </c>
      <c r="C101" s="59" t="s">
        <v>408</v>
      </c>
      <c r="D101" s="57">
        <v>65.0</v>
      </c>
      <c r="E101" s="57">
        <v>60.0</v>
      </c>
      <c r="F101" s="57">
        <v>70.0</v>
      </c>
      <c r="G101" s="57">
        <v>70.0</v>
      </c>
      <c r="H101" s="57">
        <v>75.0</v>
      </c>
      <c r="I101" s="57" t="str">
        <f>ABS('Student Calculator'!C30-D101)</f>
        <v>65</v>
      </c>
      <c r="J101" s="57" t="str">
        <f>ABS('Student Calculator'!D30-E101)</f>
        <v>60</v>
      </c>
      <c r="K101" s="57" t="str">
        <f>ABS('Student Calculator'!E30-F101)</f>
        <v>70</v>
      </c>
      <c r="L101" s="57" t="str">
        <f>ABS('Student Calculator'!F30-G101)</f>
        <v>70</v>
      </c>
      <c r="M101" s="60" t="str">
        <f t="shared" si="1"/>
        <v>40.3</v>
      </c>
      <c r="N101" s="61" t="str">
        <f t="shared" si="2"/>
        <v>🔴 MISMATCH</v>
      </c>
    </row>
    <row r="102" ht="19.5" customHeight="1">
      <c r="A102" s="52">
        <v>99.0</v>
      </c>
      <c r="B102" s="53" t="s">
        <v>412</v>
      </c>
      <c r="C102" s="54" t="s">
        <v>413</v>
      </c>
      <c r="D102" s="52">
        <v>45.0</v>
      </c>
      <c r="E102" s="52">
        <v>85.0</v>
      </c>
      <c r="F102" s="52">
        <v>85.0</v>
      </c>
      <c r="G102" s="52">
        <v>70.0</v>
      </c>
      <c r="H102" s="52">
        <v>80.0</v>
      </c>
      <c r="I102" s="52" t="str">
        <f>ABS('Student Calculator'!C30-D102)</f>
        <v>45</v>
      </c>
      <c r="J102" s="52" t="str">
        <f>ABS('Student Calculator'!D30-E102)</f>
        <v>85</v>
      </c>
      <c r="K102" s="52" t="str">
        <f>ABS('Student Calculator'!E30-F102)</f>
        <v>85</v>
      </c>
      <c r="L102" s="52" t="str">
        <f>ABS('Student Calculator'!F30-G102)</f>
        <v>70</v>
      </c>
      <c r="M102" s="55" t="str">
        <f t="shared" si="1"/>
        <v>36.5</v>
      </c>
      <c r="N102" s="56" t="str">
        <f t="shared" si="2"/>
        <v>🔴 MISMATCH</v>
      </c>
    </row>
    <row r="103" ht="19.5" customHeight="1">
      <c r="A103" s="57">
        <v>100.0</v>
      </c>
      <c r="B103" s="58" t="s">
        <v>414</v>
      </c>
      <c r="C103" s="59" t="s">
        <v>413</v>
      </c>
      <c r="D103" s="57">
        <v>70.0</v>
      </c>
      <c r="E103" s="57">
        <v>85.0</v>
      </c>
      <c r="F103" s="57">
        <v>90.0</v>
      </c>
      <c r="G103" s="57">
        <v>70.0</v>
      </c>
      <c r="H103" s="57">
        <v>85.0</v>
      </c>
      <c r="I103" s="57" t="str">
        <f>ABS('Student Calculator'!C30-D103)</f>
        <v>70</v>
      </c>
      <c r="J103" s="57" t="str">
        <f>ABS('Student Calculator'!D30-E103)</f>
        <v>85</v>
      </c>
      <c r="K103" s="57" t="str">
        <f>ABS('Student Calculator'!E30-F103)</f>
        <v>90</v>
      </c>
      <c r="L103" s="57" t="str">
        <f>ABS('Student Calculator'!F30-G103)</f>
        <v>70</v>
      </c>
      <c r="M103" s="60" t="str">
        <f t="shared" si="1"/>
        <v>29</v>
      </c>
      <c r="N103" s="61" t="str">
        <f t="shared" si="2"/>
        <v>🔴 MISMATCH</v>
      </c>
    </row>
    <row r="104" ht="19.5" customHeight="1">
      <c r="A104" s="52">
        <v>101.0</v>
      </c>
      <c r="B104" s="53" t="s">
        <v>415</v>
      </c>
      <c r="C104" s="54" t="s">
        <v>413</v>
      </c>
      <c r="D104" s="52">
        <v>70.0</v>
      </c>
      <c r="E104" s="52">
        <v>80.0</v>
      </c>
      <c r="F104" s="52">
        <v>90.0</v>
      </c>
      <c r="G104" s="52">
        <v>70.0</v>
      </c>
      <c r="H104" s="52">
        <v>85.0</v>
      </c>
      <c r="I104" s="52" t="str">
        <f>ABS('Student Calculator'!C30-D104)</f>
        <v>70</v>
      </c>
      <c r="J104" s="52" t="str">
        <f>ABS('Student Calculator'!D30-E104)</f>
        <v>80</v>
      </c>
      <c r="K104" s="52" t="str">
        <f>ABS('Student Calculator'!E30-F104)</f>
        <v>90</v>
      </c>
      <c r="L104" s="52" t="str">
        <f>ABS('Student Calculator'!F30-G104)</f>
        <v>70</v>
      </c>
      <c r="M104" s="55" t="str">
        <f t="shared" si="1"/>
        <v>30</v>
      </c>
      <c r="N104" s="56" t="str">
        <f t="shared" si="2"/>
        <v>🔴 MISMATCH</v>
      </c>
    </row>
    <row r="105" ht="19.5" customHeight="1">
      <c r="A105" s="57">
        <v>102.0</v>
      </c>
      <c r="B105" s="58" t="s">
        <v>416</v>
      </c>
      <c r="C105" s="59" t="s">
        <v>413</v>
      </c>
      <c r="D105" s="57">
        <v>55.0</v>
      </c>
      <c r="E105" s="57">
        <v>75.0</v>
      </c>
      <c r="F105" s="57">
        <v>90.0</v>
      </c>
      <c r="G105" s="57">
        <v>75.0</v>
      </c>
      <c r="H105" s="57">
        <v>85.0</v>
      </c>
      <c r="I105" s="57" t="str">
        <f>ABS('Student Calculator'!C30-D105)</f>
        <v>55</v>
      </c>
      <c r="J105" s="57" t="str">
        <f>ABS('Student Calculator'!D30-E105)</f>
        <v>75</v>
      </c>
      <c r="K105" s="57" t="str">
        <f>ABS('Student Calculator'!E30-F105)</f>
        <v>90</v>
      </c>
      <c r="L105" s="57" t="str">
        <f>ABS('Student Calculator'!F30-G105)</f>
        <v>75</v>
      </c>
      <c r="M105" s="60" t="str">
        <f t="shared" si="1"/>
        <v>33.8</v>
      </c>
      <c r="N105" s="61" t="str">
        <f t="shared" si="2"/>
        <v>🔴 MISMATCH</v>
      </c>
    </row>
    <row r="106" ht="19.5" customHeight="1">
      <c r="A106" s="52">
        <v>103.0</v>
      </c>
      <c r="B106" s="53" t="s">
        <v>417</v>
      </c>
      <c r="C106" s="54" t="s">
        <v>413</v>
      </c>
      <c r="D106" s="52">
        <v>50.0</v>
      </c>
      <c r="E106" s="52">
        <v>90.0</v>
      </c>
      <c r="F106" s="52">
        <v>75.0</v>
      </c>
      <c r="G106" s="52">
        <v>60.0</v>
      </c>
      <c r="H106" s="52">
        <v>85.0</v>
      </c>
      <c r="I106" s="52" t="str">
        <f>ABS('Student Calculator'!C30-D106)</f>
        <v>50</v>
      </c>
      <c r="J106" s="52" t="str">
        <f>ABS('Student Calculator'!D30-E106)</f>
        <v>90</v>
      </c>
      <c r="K106" s="52" t="str">
        <f>ABS('Student Calculator'!E30-F106)</f>
        <v>75</v>
      </c>
      <c r="L106" s="52" t="str">
        <f>ABS('Student Calculator'!F30-G106)</f>
        <v>60</v>
      </c>
      <c r="M106" s="55" t="str">
        <f t="shared" si="1"/>
        <v>38.8</v>
      </c>
      <c r="N106" s="56" t="str">
        <f t="shared" si="2"/>
        <v>🔴 MISMATCH</v>
      </c>
    </row>
    <row r="107" ht="19.5" customHeight="1">
      <c r="A107" s="57">
        <v>104.0</v>
      </c>
      <c r="B107" s="58" t="s">
        <v>418</v>
      </c>
      <c r="C107" s="59" t="s">
        <v>326</v>
      </c>
      <c r="D107" s="57">
        <v>45.0</v>
      </c>
      <c r="E107" s="57">
        <v>90.0</v>
      </c>
      <c r="F107" s="57">
        <v>75.0</v>
      </c>
      <c r="G107" s="57">
        <v>45.0</v>
      </c>
      <c r="H107" s="57">
        <v>80.0</v>
      </c>
      <c r="I107" s="57" t="str">
        <f>ABS('Student Calculator'!C30-D107)</f>
        <v>45</v>
      </c>
      <c r="J107" s="57" t="str">
        <f>ABS('Student Calculator'!D30-E107)</f>
        <v>90</v>
      </c>
      <c r="K107" s="57" t="str">
        <f>ABS('Student Calculator'!E30-F107)</f>
        <v>75</v>
      </c>
      <c r="L107" s="57" t="str">
        <f>ABS('Student Calculator'!F30-G107)</f>
        <v>45</v>
      </c>
      <c r="M107" s="60" t="str">
        <f t="shared" si="1"/>
        <v>43</v>
      </c>
      <c r="N107" s="61" t="str">
        <f t="shared" si="2"/>
        <v>🔴 MISMATCH</v>
      </c>
    </row>
    <row r="108" ht="19.5" customHeight="1">
      <c r="A108" s="52">
        <v>105.0</v>
      </c>
      <c r="B108" s="53" t="s">
        <v>419</v>
      </c>
      <c r="C108" s="54" t="s">
        <v>318</v>
      </c>
      <c r="D108" s="52">
        <v>80.0</v>
      </c>
      <c r="E108" s="52">
        <v>85.0</v>
      </c>
      <c r="F108" s="52">
        <v>70.0</v>
      </c>
      <c r="G108" s="52">
        <v>60.0</v>
      </c>
      <c r="H108" s="52">
        <v>75.0</v>
      </c>
      <c r="I108" s="52" t="str">
        <f>ABS('Student Calculator'!C30-D108)</f>
        <v>80</v>
      </c>
      <c r="J108" s="52" t="str">
        <f>ABS('Student Calculator'!D30-E108)</f>
        <v>85</v>
      </c>
      <c r="K108" s="52" t="str">
        <f>ABS('Student Calculator'!E30-F108)</f>
        <v>70</v>
      </c>
      <c r="L108" s="52" t="str">
        <f>ABS('Student Calculator'!F30-G108)</f>
        <v>60</v>
      </c>
      <c r="M108" s="55" t="str">
        <f t="shared" si="1"/>
        <v>33.5</v>
      </c>
      <c r="N108" s="56" t="str">
        <f t="shared" si="2"/>
        <v>🔴 MISMATCH</v>
      </c>
    </row>
    <row r="109" ht="19.5" customHeight="1">
      <c r="A109" s="57">
        <v>106.0</v>
      </c>
      <c r="B109" s="58" t="s">
        <v>420</v>
      </c>
      <c r="C109" s="59" t="s">
        <v>318</v>
      </c>
      <c r="D109" s="57">
        <v>75.0</v>
      </c>
      <c r="E109" s="57">
        <v>90.0</v>
      </c>
      <c r="F109" s="57">
        <v>75.0</v>
      </c>
      <c r="G109" s="57">
        <v>60.0</v>
      </c>
      <c r="H109" s="57">
        <v>80.0</v>
      </c>
      <c r="I109" s="57" t="str">
        <f>ABS('Student Calculator'!C30-D109)</f>
        <v>75</v>
      </c>
      <c r="J109" s="57" t="str">
        <f>ABS('Student Calculator'!D30-E109)</f>
        <v>90</v>
      </c>
      <c r="K109" s="57" t="str">
        <f>ABS('Student Calculator'!E30-F109)</f>
        <v>75</v>
      </c>
      <c r="L109" s="57" t="str">
        <f>ABS('Student Calculator'!F30-G109)</f>
        <v>60</v>
      </c>
      <c r="M109" s="60" t="str">
        <f t="shared" si="1"/>
        <v>32.5</v>
      </c>
      <c r="N109" s="61" t="str">
        <f t="shared" si="2"/>
        <v>🔴 MISMATCH</v>
      </c>
    </row>
    <row r="110" ht="19.5" customHeight="1">
      <c r="A110" s="52">
        <v>107.0</v>
      </c>
      <c r="B110" s="53" t="s">
        <v>421</v>
      </c>
      <c r="C110" s="54" t="s">
        <v>301</v>
      </c>
      <c r="D110" s="52">
        <v>50.0</v>
      </c>
      <c r="E110" s="52">
        <v>92.0</v>
      </c>
      <c r="F110" s="52">
        <v>78.0</v>
      </c>
      <c r="G110" s="52">
        <v>55.0</v>
      </c>
      <c r="H110" s="52">
        <v>78.0</v>
      </c>
      <c r="I110" s="52" t="str">
        <f>ABS('Student Calculator'!C30-D110)</f>
        <v>50</v>
      </c>
      <c r="J110" s="52" t="str">
        <f>ABS('Student Calculator'!D30-E110)</f>
        <v>92</v>
      </c>
      <c r="K110" s="52" t="str">
        <f>ABS('Student Calculator'!E30-F110)</f>
        <v>78</v>
      </c>
      <c r="L110" s="52" t="str">
        <f>ABS('Student Calculator'!F30-G110)</f>
        <v>55</v>
      </c>
      <c r="M110" s="55" t="str">
        <f t="shared" si="1"/>
        <v>38.6</v>
      </c>
      <c r="N110" s="56" t="str">
        <f t="shared" si="2"/>
        <v>🔴 MISMATCH</v>
      </c>
    </row>
    <row r="111" ht="19.5" customHeight="1">
      <c r="A111" s="57">
        <v>108.0</v>
      </c>
      <c r="B111" s="58" t="s">
        <v>422</v>
      </c>
      <c r="C111" s="59" t="s">
        <v>314</v>
      </c>
      <c r="D111" s="57">
        <v>70.0</v>
      </c>
      <c r="E111" s="57">
        <v>85.0</v>
      </c>
      <c r="F111" s="57">
        <v>72.0</v>
      </c>
      <c r="G111" s="57">
        <v>60.0</v>
      </c>
      <c r="H111" s="57">
        <v>75.0</v>
      </c>
      <c r="I111" s="57" t="str">
        <f>ABS('Student Calculator'!C30-D111)</f>
        <v>70</v>
      </c>
      <c r="J111" s="57" t="str">
        <f>ABS('Student Calculator'!D30-E111)</f>
        <v>85</v>
      </c>
      <c r="K111" s="57" t="str">
        <f>ABS('Student Calculator'!E30-F111)</f>
        <v>72</v>
      </c>
      <c r="L111" s="57" t="str">
        <f>ABS('Student Calculator'!F30-G111)</f>
        <v>60</v>
      </c>
      <c r="M111" s="60" t="str">
        <f t="shared" si="1"/>
        <v>35.5</v>
      </c>
      <c r="N111" s="61" t="str">
        <f t="shared" si="2"/>
        <v>🔴 MISMATCH</v>
      </c>
    </row>
    <row r="112" ht="19.5" customHeight="1">
      <c r="A112" s="52">
        <v>109.0</v>
      </c>
      <c r="B112" s="53" t="s">
        <v>423</v>
      </c>
      <c r="C112" s="54" t="s">
        <v>301</v>
      </c>
      <c r="D112" s="52">
        <v>45.0</v>
      </c>
      <c r="E112" s="52">
        <v>88.0</v>
      </c>
      <c r="F112" s="52">
        <v>80.0</v>
      </c>
      <c r="G112" s="52">
        <v>60.0</v>
      </c>
      <c r="H112" s="52">
        <v>80.0</v>
      </c>
      <c r="I112" s="52" t="str">
        <f>ABS('Student Calculator'!C30-D112)</f>
        <v>45</v>
      </c>
      <c r="J112" s="52" t="str">
        <f>ABS('Student Calculator'!D30-E112)</f>
        <v>88</v>
      </c>
      <c r="K112" s="52" t="str">
        <f>ABS('Student Calculator'!E30-F112)</f>
        <v>80</v>
      </c>
      <c r="L112" s="52" t="str">
        <f>ABS('Student Calculator'!F30-G112)</f>
        <v>60</v>
      </c>
      <c r="M112" s="55" t="str">
        <f t="shared" si="1"/>
        <v>39.2</v>
      </c>
      <c r="N112" s="56" t="str">
        <f t="shared" si="2"/>
        <v>🔴 MISMATCH</v>
      </c>
    </row>
    <row r="113" ht="19.5" customHeight="1">
      <c r="A113" s="57">
        <v>110.0</v>
      </c>
      <c r="B113" s="58" t="s">
        <v>424</v>
      </c>
      <c r="C113" s="59" t="s">
        <v>402</v>
      </c>
      <c r="D113" s="57">
        <v>80.0</v>
      </c>
      <c r="E113" s="57">
        <v>80.0</v>
      </c>
      <c r="F113" s="57">
        <v>75.0</v>
      </c>
      <c r="G113" s="57">
        <v>72.0</v>
      </c>
      <c r="H113" s="57">
        <v>75.0</v>
      </c>
      <c r="I113" s="57" t="str">
        <f>ABS('Student Calculator'!C30-D113)</f>
        <v>80</v>
      </c>
      <c r="J113" s="57" t="str">
        <f>ABS('Student Calculator'!D30-E113)</f>
        <v>80</v>
      </c>
      <c r="K113" s="57" t="str">
        <f>ABS('Student Calculator'!E30-F113)</f>
        <v>75</v>
      </c>
      <c r="L113" s="57" t="str">
        <f>ABS('Student Calculator'!F30-G113)</f>
        <v>72</v>
      </c>
      <c r="M113" s="60" t="str">
        <f t="shared" si="1"/>
        <v>30.9</v>
      </c>
      <c r="N113" s="61" t="str">
        <f t="shared" si="2"/>
        <v>🔴 MISMATCH</v>
      </c>
    </row>
    <row r="114" ht="19.5" customHeight="1">
      <c r="A114" s="52">
        <v>111.0</v>
      </c>
      <c r="B114" s="53" t="s">
        <v>425</v>
      </c>
      <c r="C114" s="54" t="s">
        <v>339</v>
      </c>
      <c r="D114" s="52">
        <v>38.0</v>
      </c>
      <c r="E114" s="52">
        <v>90.0</v>
      </c>
      <c r="F114" s="52">
        <v>62.0</v>
      </c>
      <c r="G114" s="52">
        <v>38.0</v>
      </c>
      <c r="H114" s="52">
        <v>88.0</v>
      </c>
      <c r="I114" s="52" t="str">
        <f>ABS('Student Calculator'!C30-D114)</f>
        <v>38</v>
      </c>
      <c r="J114" s="52" t="str">
        <f>ABS('Student Calculator'!D30-E114)</f>
        <v>90</v>
      </c>
      <c r="K114" s="52" t="str">
        <f>ABS('Student Calculator'!E30-F114)</f>
        <v>62</v>
      </c>
      <c r="L114" s="52" t="str">
        <f>ABS('Student Calculator'!F30-G114)</f>
        <v>38</v>
      </c>
      <c r="M114" s="55" t="str">
        <f t="shared" si="1"/>
        <v>49.4</v>
      </c>
      <c r="N114" s="56" t="str">
        <f t="shared" si="2"/>
        <v>🔴 MISMATCH</v>
      </c>
    </row>
    <row r="115" ht="19.5" customHeight="1">
      <c r="A115" s="57">
        <v>112.0</v>
      </c>
      <c r="B115" s="58" t="s">
        <v>426</v>
      </c>
      <c r="C115" s="59" t="s">
        <v>339</v>
      </c>
      <c r="D115" s="57">
        <v>35.0</v>
      </c>
      <c r="E115" s="57">
        <v>88.0</v>
      </c>
      <c r="F115" s="57">
        <v>60.0</v>
      </c>
      <c r="G115" s="57">
        <v>38.0</v>
      </c>
      <c r="H115" s="57">
        <v>85.0</v>
      </c>
      <c r="I115" s="57" t="str">
        <f>ABS('Student Calculator'!C30-D115)</f>
        <v>35</v>
      </c>
      <c r="J115" s="57" t="str">
        <f>ABS('Student Calculator'!D30-E115)</f>
        <v>88</v>
      </c>
      <c r="K115" s="57" t="str">
        <f>ABS('Student Calculator'!E30-F115)</f>
        <v>60</v>
      </c>
      <c r="L115" s="57" t="str">
        <f>ABS('Student Calculator'!F30-G115)</f>
        <v>38</v>
      </c>
      <c r="M115" s="60" t="str">
        <f t="shared" si="1"/>
        <v>51.1</v>
      </c>
      <c r="N115" s="61" t="str">
        <f t="shared" si="2"/>
        <v>🔴 MISMATCH</v>
      </c>
    </row>
    <row r="116" ht="19.5" customHeight="1">
      <c r="A116" s="52">
        <v>113.0</v>
      </c>
      <c r="B116" s="53" t="s">
        <v>427</v>
      </c>
      <c r="C116" s="54" t="s">
        <v>339</v>
      </c>
      <c r="D116" s="52">
        <v>38.0</v>
      </c>
      <c r="E116" s="52">
        <v>88.0</v>
      </c>
      <c r="F116" s="52">
        <v>60.0</v>
      </c>
      <c r="G116" s="52">
        <v>38.0</v>
      </c>
      <c r="H116" s="52">
        <v>85.0</v>
      </c>
      <c r="I116" s="52" t="str">
        <f>ABS('Student Calculator'!C30-D116)</f>
        <v>38</v>
      </c>
      <c r="J116" s="52" t="str">
        <f>ABS('Student Calculator'!D30-E116)</f>
        <v>88</v>
      </c>
      <c r="K116" s="52" t="str">
        <f>ABS('Student Calculator'!E30-F116)</f>
        <v>60</v>
      </c>
      <c r="L116" s="52" t="str">
        <f>ABS('Student Calculator'!F30-G116)</f>
        <v>38</v>
      </c>
      <c r="M116" s="55" t="str">
        <f t="shared" si="1"/>
        <v>50.3</v>
      </c>
      <c r="N116" s="56" t="str">
        <f t="shared" si="2"/>
        <v>🔴 MISMATCH</v>
      </c>
    </row>
    <row r="117" ht="19.5" customHeight="1">
      <c r="A117" s="57">
        <v>114.0</v>
      </c>
      <c r="B117" s="58" t="s">
        <v>428</v>
      </c>
      <c r="C117" s="59" t="s">
        <v>362</v>
      </c>
      <c r="D117" s="57">
        <v>65.0</v>
      </c>
      <c r="E117" s="57">
        <v>80.0</v>
      </c>
      <c r="F117" s="57">
        <v>80.0</v>
      </c>
      <c r="G117" s="57">
        <v>72.0</v>
      </c>
      <c r="H117" s="57">
        <v>88.0</v>
      </c>
      <c r="I117" s="57" t="str">
        <f>ABS('Student Calculator'!C30-D117)</f>
        <v>65</v>
      </c>
      <c r="J117" s="57" t="str">
        <f>ABS('Student Calculator'!D30-E117)</f>
        <v>80</v>
      </c>
      <c r="K117" s="57" t="str">
        <f>ABS('Student Calculator'!E30-F117)</f>
        <v>80</v>
      </c>
      <c r="L117" s="57" t="str">
        <f>ABS('Student Calculator'!F30-G117)</f>
        <v>72</v>
      </c>
      <c r="M117" s="60" t="str">
        <f t="shared" si="1"/>
        <v>33.4</v>
      </c>
      <c r="N117" s="61" t="str">
        <f t="shared" si="2"/>
        <v>🔴 MISMATCH</v>
      </c>
    </row>
    <row r="118" ht="19.5" customHeight="1">
      <c r="A118" s="52">
        <v>115.0</v>
      </c>
      <c r="B118" s="53" t="s">
        <v>429</v>
      </c>
      <c r="C118" s="54" t="s">
        <v>362</v>
      </c>
      <c r="D118" s="52">
        <v>55.0</v>
      </c>
      <c r="E118" s="52">
        <v>72.0</v>
      </c>
      <c r="F118" s="52">
        <v>75.0</v>
      </c>
      <c r="G118" s="52">
        <v>65.0</v>
      </c>
      <c r="H118" s="52">
        <v>85.0</v>
      </c>
      <c r="I118" s="52" t="str">
        <f>ABS('Student Calculator'!C30-D118)</f>
        <v>55</v>
      </c>
      <c r="J118" s="52" t="str">
        <f>ABS('Student Calculator'!D30-E118)</f>
        <v>72</v>
      </c>
      <c r="K118" s="52" t="str">
        <f>ABS('Student Calculator'!E30-F118)</f>
        <v>75</v>
      </c>
      <c r="L118" s="52" t="str">
        <f>ABS('Student Calculator'!F30-G118)</f>
        <v>65</v>
      </c>
      <c r="M118" s="55" t="str">
        <f t="shared" si="1"/>
        <v>40.1</v>
      </c>
      <c r="N118" s="56" t="str">
        <f t="shared" si="2"/>
        <v>🔴 MISMATCH</v>
      </c>
    </row>
    <row r="119" ht="19.5" customHeight="1">
      <c r="A119" s="57">
        <v>116.0</v>
      </c>
      <c r="B119" s="58" t="s">
        <v>430</v>
      </c>
      <c r="C119" s="59" t="s">
        <v>431</v>
      </c>
      <c r="D119" s="57">
        <v>50.0</v>
      </c>
      <c r="E119" s="57">
        <v>78.0</v>
      </c>
      <c r="F119" s="57">
        <v>65.0</v>
      </c>
      <c r="G119" s="57">
        <v>58.0</v>
      </c>
      <c r="H119" s="57">
        <v>80.0</v>
      </c>
      <c r="I119" s="57" t="str">
        <f>ABS('Student Calculator'!C30-D119)</f>
        <v>50</v>
      </c>
      <c r="J119" s="57" t="str">
        <f>ABS('Student Calculator'!D30-E119)</f>
        <v>78</v>
      </c>
      <c r="K119" s="57" t="str">
        <f>ABS('Student Calculator'!E30-F119)</f>
        <v>65</v>
      </c>
      <c r="L119" s="57" t="str">
        <f>ABS('Student Calculator'!F30-G119)</f>
        <v>58</v>
      </c>
      <c r="M119" s="60" t="str">
        <f t="shared" si="1"/>
        <v>44.1</v>
      </c>
      <c r="N119" s="61" t="str">
        <f t="shared" si="2"/>
        <v>🔴 MISMATCH</v>
      </c>
    </row>
    <row r="120" ht="19.5" customHeight="1">
      <c r="A120" s="52">
        <v>117.0</v>
      </c>
      <c r="B120" s="53" t="s">
        <v>432</v>
      </c>
      <c r="C120" s="54" t="s">
        <v>339</v>
      </c>
      <c r="D120" s="52">
        <v>45.0</v>
      </c>
      <c r="E120" s="52">
        <v>80.0</v>
      </c>
      <c r="F120" s="52">
        <v>65.0</v>
      </c>
      <c r="G120" s="52">
        <v>55.0</v>
      </c>
      <c r="H120" s="52">
        <v>78.0</v>
      </c>
      <c r="I120" s="52" t="str">
        <f>ABS('Student Calculator'!C30-D120)</f>
        <v>45</v>
      </c>
      <c r="J120" s="52" t="str">
        <f>ABS('Student Calculator'!D30-E120)</f>
        <v>80</v>
      </c>
      <c r="K120" s="52" t="str">
        <f>ABS('Student Calculator'!E30-F120)</f>
        <v>65</v>
      </c>
      <c r="L120" s="52" t="str">
        <f>ABS('Student Calculator'!F30-G120)</f>
        <v>55</v>
      </c>
      <c r="M120" s="55" t="str">
        <f t="shared" si="1"/>
        <v>45.5</v>
      </c>
      <c r="N120" s="56" t="str">
        <f t="shared" si="2"/>
        <v>🔴 MISMATCH</v>
      </c>
    </row>
    <row r="121" ht="19.5" customHeight="1">
      <c r="A121" s="57">
        <v>118.0</v>
      </c>
      <c r="B121" s="58" t="s">
        <v>433</v>
      </c>
      <c r="C121" s="59" t="s">
        <v>314</v>
      </c>
      <c r="D121" s="57">
        <v>70.0</v>
      </c>
      <c r="E121" s="57">
        <v>82.0</v>
      </c>
      <c r="F121" s="57">
        <v>78.0</v>
      </c>
      <c r="G121" s="57">
        <v>68.0</v>
      </c>
      <c r="H121" s="57">
        <v>72.0</v>
      </c>
      <c r="I121" s="57" t="str">
        <f>ABS('Student Calculator'!C30-D121)</f>
        <v>70</v>
      </c>
      <c r="J121" s="57" t="str">
        <f>ABS('Student Calculator'!D30-E121)</f>
        <v>82</v>
      </c>
      <c r="K121" s="57" t="str">
        <f>ABS('Student Calculator'!E30-F121)</f>
        <v>78</v>
      </c>
      <c r="L121" s="57" t="str">
        <f>ABS('Student Calculator'!F30-G121)</f>
        <v>68</v>
      </c>
      <c r="M121" s="60" t="str">
        <f t="shared" si="1"/>
        <v>33</v>
      </c>
      <c r="N121" s="61" t="str">
        <f t="shared" si="2"/>
        <v>🔴 MISMATCH</v>
      </c>
    </row>
    <row r="122" ht="19.5" customHeight="1">
      <c r="A122" s="52">
        <v>119.0</v>
      </c>
      <c r="B122" s="53" t="s">
        <v>434</v>
      </c>
      <c r="C122" s="54" t="s">
        <v>296</v>
      </c>
      <c r="D122" s="52">
        <v>72.0</v>
      </c>
      <c r="E122" s="52">
        <v>70.0</v>
      </c>
      <c r="F122" s="52">
        <v>78.0</v>
      </c>
      <c r="G122" s="52">
        <v>68.0</v>
      </c>
      <c r="H122" s="52">
        <v>70.0</v>
      </c>
      <c r="I122" s="52" t="str">
        <f>ABS('Student Calculator'!C30-D122)</f>
        <v>72</v>
      </c>
      <c r="J122" s="52" t="str">
        <f>ABS('Student Calculator'!D30-E122)</f>
        <v>70</v>
      </c>
      <c r="K122" s="52" t="str">
        <f>ABS('Student Calculator'!E30-F122)</f>
        <v>78</v>
      </c>
      <c r="L122" s="52" t="str">
        <f>ABS('Student Calculator'!F30-G122)</f>
        <v>68</v>
      </c>
      <c r="M122" s="55" t="str">
        <f t="shared" si="1"/>
        <v>34.9</v>
      </c>
      <c r="N122" s="56" t="str">
        <f t="shared" si="2"/>
        <v>🔴 MISMATCH</v>
      </c>
    </row>
    <row r="123" ht="19.5" customHeight="1">
      <c r="A123" s="57">
        <v>120.0</v>
      </c>
      <c r="B123" s="58" t="s">
        <v>435</v>
      </c>
      <c r="C123" s="59" t="s">
        <v>296</v>
      </c>
      <c r="D123" s="57">
        <v>65.0</v>
      </c>
      <c r="E123" s="57">
        <v>68.0</v>
      </c>
      <c r="F123" s="57">
        <v>75.0</v>
      </c>
      <c r="G123" s="57">
        <v>65.0</v>
      </c>
      <c r="H123" s="57">
        <v>68.0</v>
      </c>
      <c r="I123" s="57" t="str">
        <f>ABS('Student Calculator'!C30-D123)</f>
        <v>65</v>
      </c>
      <c r="J123" s="57" t="str">
        <f>ABS('Student Calculator'!D30-E123)</f>
        <v>68</v>
      </c>
      <c r="K123" s="57" t="str">
        <f>ABS('Student Calculator'!E30-F123)</f>
        <v>75</v>
      </c>
      <c r="L123" s="57" t="str">
        <f>ABS('Student Calculator'!F30-G123)</f>
        <v>65</v>
      </c>
      <c r="M123" s="60" t="str">
        <f t="shared" si="1"/>
        <v>38.4</v>
      </c>
      <c r="N123" s="61" t="str">
        <f t="shared" si="2"/>
        <v>🔴 MISMATCH</v>
      </c>
    </row>
    <row r="124" ht="19.5" customHeight="1">
      <c r="A124" s="52">
        <v>121.0</v>
      </c>
      <c r="B124" s="53" t="s">
        <v>436</v>
      </c>
      <c r="C124" s="54" t="s">
        <v>437</v>
      </c>
      <c r="D124" s="52">
        <v>72.0</v>
      </c>
      <c r="E124" s="52">
        <v>55.0</v>
      </c>
      <c r="F124" s="52">
        <v>82.0</v>
      </c>
      <c r="G124" s="52">
        <v>78.0</v>
      </c>
      <c r="H124" s="52">
        <v>60.0</v>
      </c>
      <c r="I124" s="52" t="str">
        <f>ABS('Student Calculator'!C30-D124)</f>
        <v>72</v>
      </c>
      <c r="J124" s="52" t="str">
        <f>ABS('Student Calculator'!D30-E124)</f>
        <v>55</v>
      </c>
      <c r="K124" s="52" t="str">
        <f>ABS('Student Calculator'!E30-F124)</f>
        <v>82</v>
      </c>
      <c r="L124" s="52" t="str">
        <f>ABS('Student Calculator'!F30-G124)</f>
        <v>78</v>
      </c>
      <c r="M124" s="55" t="str">
        <f t="shared" si="1"/>
        <v>34.9</v>
      </c>
      <c r="N124" s="56" t="str">
        <f t="shared" si="2"/>
        <v>🔴 MISMATCH</v>
      </c>
    </row>
    <row r="125" ht="19.5" customHeight="1">
      <c r="A125" s="57">
        <v>122.0</v>
      </c>
      <c r="B125" s="58" t="s">
        <v>438</v>
      </c>
      <c r="C125" s="59" t="s">
        <v>437</v>
      </c>
      <c r="D125" s="57">
        <v>50.0</v>
      </c>
      <c r="E125" s="57">
        <v>55.0</v>
      </c>
      <c r="F125" s="57">
        <v>88.0</v>
      </c>
      <c r="G125" s="57">
        <v>80.0</v>
      </c>
      <c r="H125" s="57">
        <v>60.0</v>
      </c>
      <c r="I125" s="57" t="str">
        <f>ABS('Student Calculator'!C30-D125)</f>
        <v>50</v>
      </c>
      <c r="J125" s="57" t="str">
        <f>ABS('Student Calculator'!D30-E125)</f>
        <v>55</v>
      </c>
      <c r="K125" s="57" t="str">
        <f>ABS('Student Calculator'!E30-F125)</f>
        <v>88</v>
      </c>
      <c r="L125" s="57" t="str">
        <f>ABS('Student Calculator'!F30-G125)</f>
        <v>80</v>
      </c>
      <c r="M125" s="60" t="str">
        <f t="shared" si="1"/>
        <v>38.5</v>
      </c>
      <c r="N125" s="61" t="str">
        <f t="shared" si="2"/>
        <v>🔴 MISMATCH</v>
      </c>
    </row>
    <row r="126" ht="19.5" customHeight="1">
      <c r="A126" s="52">
        <v>123.0</v>
      </c>
      <c r="B126" s="53" t="s">
        <v>439</v>
      </c>
      <c r="C126" s="54" t="s">
        <v>336</v>
      </c>
      <c r="D126" s="52">
        <v>62.0</v>
      </c>
      <c r="E126" s="52">
        <v>60.0</v>
      </c>
      <c r="F126" s="52">
        <v>70.0</v>
      </c>
      <c r="G126" s="52">
        <v>82.0</v>
      </c>
      <c r="H126" s="52">
        <v>72.0</v>
      </c>
      <c r="I126" s="52" t="str">
        <f>ABS('Student Calculator'!C30-D126)</f>
        <v>62</v>
      </c>
      <c r="J126" s="52" t="str">
        <f>ABS('Student Calculator'!D30-E126)</f>
        <v>60</v>
      </c>
      <c r="K126" s="52" t="str">
        <f>ABS('Student Calculator'!E30-F126)</f>
        <v>70</v>
      </c>
      <c r="L126" s="52" t="str">
        <f>ABS('Student Calculator'!F30-G126)</f>
        <v>82</v>
      </c>
      <c r="M126" s="55" t="str">
        <f t="shared" si="1"/>
        <v>38.6</v>
      </c>
      <c r="N126" s="56" t="str">
        <f t="shared" si="2"/>
        <v>🔴 MISMATCH</v>
      </c>
    </row>
    <row r="127" ht="19.5" customHeight="1">
      <c r="A127" s="57">
        <v>124.0</v>
      </c>
      <c r="B127" s="58" t="s">
        <v>440</v>
      </c>
      <c r="C127" s="59" t="s">
        <v>382</v>
      </c>
      <c r="D127" s="57">
        <v>68.0</v>
      </c>
      <c r="E127" s="57">
        <v>58.0</v>
      </c>
      <c r="F127" s="57">
        <v>78.0</v>
      </c>
      <c r="G127" s="57">
        <v>90.0</v>
      </c>
      <c r="H127" s="57">
        <v>65.0</v>
      </c>
      <c r="I127" s="57" t="str">
        <f>ABS('Student Calculator'!C30-D127)</f>
        <v>68</v>
      </c>
      <c r="J127" s="57" t="str">
        <f>ABS('Student Calculator'!D30-E127)</f>
        <v>58</v>
      </c>
      <c r="K127" s="57" t="str">
        <f>ABS('Student Calculator'!E30-F127)</f>
        <v>78</v>
      </c>
      <c r="L127" s="57" t="str">
        <f>ABS('Student Calculator'!F30-G127)</f>
        <v>90</v>
      </c>
      <c r="M127" s="60" t="str">
        <f t="shared" si="1"/>
        <v>33.9</v>
      </c>
      <c r="N127" s="61" t="str">
        <f t="shared" si="2"/>
        <v>🔴 MISMATCH</v>
      </c>
    </row>
    <row r="128" ht="19.5" customHeight="1">
      <c r="A128" s="52">
        <v>125.0</v>
      </c>
      <c r="B128" s="53" t="s">
        <v>441</v>
      </c>
      <c r="C128" s="54" t="s">
        <v>382</v>
      </c>
      <c r="D128" s="52">
        <v>72.0</v>
      </c>
      <c r="E128" s="52">
        <v>55.0</v>
      </c>
      <c r="F128" s="52">
        <v>78.0</v>
      </c>
      <c r="G128" s="52">
        <v>90.0</v>
      </c>
      <c r="H128" s="52">
        <v>62.0</v>
      </c>
      <c r="I128" s="52" t="str">
        <f>ABS('Student Calculator'!C30-D128)</f>
        <v>72</v>
      </c>
      <c r="J128" s="52" t="str">
        <f>ABS('Student Calculator'!D30-E128)</f>
        <v>55</v>
      </c>
      <c r="K128" s="52" t="str">
        <f>ABS('Student Calculator'!E30-F128)</f>
        <v>78</v>
      </c>
      <c r="L128" s="52" t="str">
        <f>ABS('Student Calculator'!F30-G128)</f>
        <v>90</v>
      </c>
      <c r="M128" s="55" t="str">
        <f t="shared" si="1"/>
        <v>33.5</v>
      </c>
      <c r="N128" s="56" t="str">
        <f t="shared" si="2"/>
        <v>🔴 MISMATCH</v>
      </c>
    </row>
    <row r="129" ht="19.5" customHeight="1">
      <c r="A129" s="57">
        <v>126.0</v>
      </c>
      <c r="B129" s="58" t="s">
        <v>442</v>
      </c>
      <c r="C129" s="59" t="s">
        <v>382</v>
      </c>
      <c r="D129" s="57">
        <v>62.0</v>
      </c>
      <c r="E129" s="57">
        <v>62.0</v>
      </c>
      <c r="F129" s="57">
        <v>78.0</v>
      </c>
      <c r="G129" s="57">
        <v>93.0</v>
      </c>
      <c r="H129" s="57">
        <v>65.0</v>
      </c>
      <c r="I129" s="57" t="str">
        <f>ABS('Student Calculator'!C30-D129)</f>
        <v>62</v>
      </c>
      <c r="J129" s="57" t="str">
        <f>ABS('Student Calculator'!D30-E129)</f>
        <v>62</v>
      </c>
      <c r="K129" s="57" t="str">
        <f>ABS('Student Calculator'!E30-F129)</f>
        <v>78</v>
      </c>
      <c r="L129" s="57" t="str">
        <f>ABS('Student Calculator'!F30-G129)</f>
        <v>93</v>
      </c>
      <c r="M129" s="60" t="str">
        <f t="shared" si="1"/>
        <v>34</v>
      </c>
      <c r="N129" s="61" t="str">
        <f t="shared" si="2"/>
        <v>🔴 MISMATCH</v>
      </c>
    </row>
    <row r="130" ht="19.5" customHeight="1">
      <c r="A130" s="52">
        <v>127.0</v>
      </c>
      <c r="B130" s="53" t="s">
        <v>443</v>
      </c>
      <c r="C130" s="54" t="s">
        <v>387</v>
      </c>
      <c r="D130" s="52">
        <v>58.0</v>
      </c>
      <c r="E130" s="52">
        <v>45.0</v>
      </c>
      <c r="F130" s="52">
        <v>82.0</v>
      </c>
      <c r="G130" s="52">
        <v>85.0</v>
      </c>
      <c r="H130" s="52">
        <v>62.0</v>
      </c>
      <c r="I130" s="52" t="str">
        <f>ABS('Student Calculator'!C30-D130)</f>
        <v>58</v>
      </c>
      <c r="J130" s="52" t="str">
        <f>ABS('Student Calculator'!D30-E130)</f>
        <v>45</v>
      </c>
      <c r="K130" s="52" t="str">
        <f>ABS('Student Calculator'!E30-F130)</f>
        <v>82</v>
      </c>
      <c r="L130" s="52" t="str">
        <f>ABS('Student Calculator'!F30-G130)</f>
        <v>85</v>
      </c>
      <c r="M130" s="55" t="str">
        <f t="shared" si="1"/>
        <v>39</v>
      </c>
      <c r="N130" s="56" t="str">
        <f t="shared" si="2"/>
        <v>🔴 MISMATCH</v>
      </c>
    </row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48.13"/>
    <col customWidth="1" min="3" max="3" width="24.5"/>
    <col customWidth="1" min="4" max="11" width="7.63"/>
  </cols>
  <sheetData>
    <row r="1" ht="30.0" customHeight="1">
      <c r="A1" s="31" t="s">
        <v>444</v>
      </c>
      <c r="B1" s="2"/>
      <c r="C1" s="3"/>
    </row>
    <row r="2" ht="24.0" customHeight="1">
      <c r="A2" s="62" t="s">
        <v>445</v>
      </c>
      <c r="B2" s="62"/>
      <c r="C2" s="62"/>
    </row>
    <row r="3" ht="21.75" customHeight="1">
      <c r="A3" s="11" t="s">
        <v>446</v>
      </c>
      <c r="B3" s="11" t="s">
        <v>447</v>
      </c>
      <c r="C3" s="11" t="s">
        <v>448</v>
      </c>
    </row>
    <row r="4" ht="21.75" customHeight="1">
      <c r="A4" s="23" t="s">
        <v>449</v>
      </c>
      <c r="B4" s="23" t="s">
        <v>450</v>
      </c>
      <c r="C4" s="23" t="s">
        <v>451</v>
      </c>
    </row>
    <row r="5" ht="21.75" customHeight="1">
      <c r="A5" s="11" t="s">
        <v>452</v>
      </c>
      <c r="B5" s="11" t="s">
        <v>453</v>
      </c>
      <c r="C5" s="11" t="s">
        <v>454</v>
      </c>
    </row>
    <row r="6" ht="21.75" customHeight="1">
      <c r="A6" s="23"/>
      <c r="B6" s="23"/>
      <c r="C6" s="23"/>
    </row>
    <row r="7" ht="24.0" customHeight="1">
      <c r="A7" s="62" t="s">
        <v>455</v>
      </c>
      <c r="B7" s="62"/>
      <c r="C7" s="62"/>
    </row>
    <row r="8" ht="21.75" customHeight="1">
      <c r="A8" s="23" t="s">
        <v>456</v>
      </c>
      <c r="B8" s="23" t="s">
        <v>457</v>
      </c>
      <c r="C8" s="23" t="s">
        <v>458</v>
      </c>
    </row>
    <row r="9" ht="21.75" customHeight="1">
      <c r="A9" s="11" t="s">
        <v>459</v>
      </c>
      <c r="B9" s="11" t="s">
        <v>460</v>
      </c>
      <c r="C9" s="11" t="s">
        <v>461</v>
      </c>
    </row>
    <row r="10" ht="21.75" customHeight="1">
      <c r="A10" s="23" t="s">
        <v>462</v>
      </c>
      <c r="B10" s="23" t="s">
        <v>457</v>
      </c>
      <c r="C10" s="23" t="s">
        <v>463</v>
      </c>
    </row>
    <row r="11" ht="21.75" customHeight="1">
      <c r="A11" s="11" t="s">
        <v>464</v>
      </c>
      <c r="B11" s="11" t="s">
        <v>460</v>
      </c>
      <c r="C11" s="11" t="s">
        <v>465</v>
      </c>
    </row>
    <row r="12" ht="21.75" customHeight="1">
      <c r="A12" s="23" t="s">
        <v>466</v>
      </c>
      <c r="B12" s="23" t="s">
        <v>467</v>
      </c>
      <c r="C12" s="23" t="s">
        <v>468</v>
      </c>
    </row>
    <row r="13" ht="21.75" customHeight="1">
      <c r="A13" s="11"/>
      <c r="B13" s="11"/>
      <c r="C13" s="11"/>
    </row>
    <row r="14" ht="24.0" customHeight="1">
      <c r="A14" s="62" t="s">
        <v>469</v>
      </c>
      <c r="B14" s="62"/>
      <c r="C14" s="62"/>
    </row>
    <row r="15" ht="21.75" customHeight="1">
      <c r="A15" s="11" t="s">
        <v>470</v>
      </c>
      <c r="B15" s="11" t="s">
        <v>471</v>
      </c>
      <c r="C15" s="11" t="s">
        <v>472</v>
      </c>
    </row>
    <row r="16" ht="21.75" customHeight="1">
      <c r="A16" s="23" t="s">
        <v>473</v>
      </c>
      <c r="B16" s="23" t="s">
        <v>474</v>
      </c>
      <c r="C16" s="23" t="s">
        <v>475</v>
      </c>
    </row>
    <row r="17" ht="21.75" customHeight="1">
      <c r="A17" s="11"/>
      <c r="B17" s="11"/>
      <c r="C17" s="11"/>
    </row>
    <row r="18" ht="24.0" customHeight="1">
      <c r="A18" s="62" t="s">
        <v>476</v>
      </c>
      <c r="B18" s="62"/>
      <c r="C18" s="62"/>
    </row>
    <row r="19" ht="21.75" customHeight="1">
      <c r="A19" s="11" t="s">
        <v>477</v>
      </c>
      <c r="B19" s="11" t="s">
        <v>478</v>
      </c>
      <c r="C19" s="11" t="s">
        <v>479</v>
      </c>
    </row>
    <row r="20" ht="21.75" customHeight="1">
      <c r="A20" s="23" t="s">
        <v>480</v>
      </c>
      <c r="B20" s="23" t="s">
        <v>481</v>
      </c>
      <c r="C20" s="23" t="s">
        <v>482</v>
      </c>
    </row>
    <row r="21" ht="21.75" customHeight="1">
      <c r="A21" s="11" t="s">
        <v>483</v>
      </c>
      <c r="B21" s="11" t="s">
        <v>484</v>
      </c>
      <c r="C21" s="11" t="s">
        <v>485</v>
      </c>
    </row>
    <row r="22" ht="21.75" customHeight="1">
      <c r="A22" s="23" t="s">
        <v>486</v>
      </c>
      <c r="B22" s="23" t="s">
        <v>487</v>
      </c>
      <c r="C22" s="23" t="s">
        <v>488</v>
      </c>
    </row>
    <row r="23" ht="21.75" customHeight="1">
      <c r="A23" s="11"/>
      <c r="B23" s="11"/>
      <c r="C23" s="11"/>
    </row>
    <row r="24" ht="24.0" customHeight="1">
      <c r="A24" s="62" t="s">
        <v>489</v>
      </c>
      <c r="B24" s="62"/>
      <c r="C24" s="62"/>
    </row>
    <row r="25" ht="21.75" customHeight="1">
      <c r="A25" s="11" t="s">
        <v>490</v>
      </c>
      <c r="B25" s="11" t="s">
        <v>491</v>
      </c>
      <c r="C25" s="11" t="s">
        <v>492</v>
      </c>
    </row>
    <row r="26" ht="21.75" customHeight="1">
      <c r="A26" s="23" t="s">
        <v>493</v>
      </c>
      <c r="B26" s="23" t="s">
        <v>494</v>
      </c>
      <c r="C26" s="23" t="s">
        <v>495</v>
      </c>
    </row>
    <row r="27" ht="21.75" customHeight="1">
      <c r="A27" s="11" t="s">
        <v>496</v>
      </c>
      <c r="B27" s="11" t="s">
        <v>497</v>
      </c>
      <c r="C27" s="11" t="s">
        <v>498</v>
      </c>
    </row>
    <row r="28" ht="21.75" customHeight="1">
      <c r="A28" s="23" t="s">
        <v>499</v>
      </c>
      <c r="B28" s="23" t="s">
        <v>500</v>
      </c>
      <c r="C28" s="23" t="s">
        <v>501</v>
      </c>
    </row>
    <row r="29" ht="21.75" customHeight="1">
      <c r="A29" s="11" t="s">
        <v>502</v>
      </c>
      <c r="B29" s="11" t="s">
        <v>503</v>
      </c>
      <c r="C29" s="11" t="s">
        <v>504</v>
      </c>
    </row>
    <row r="30" ht="21.75" customHeight="1">
      <c r="A30" s="23" t="s">
        <v>505</v>
      </c>
      <c r="B30" s="23" t="s">
        <v>506</v>
      </c>
      <c r="C30" s="23" t="s">
        <v>507</v>
      </c>
    </row>
    <row r="31" ht="21.75" customHeight="1">
      <c r="A31" s="11" t="s">
        <v>508</v>
      </c>
      <c r="B31" s="11" t="s">
        <v>509</v>
      </c>
      <c r="C31" s="11" t="s">
        <v>510</v>
      </c>
    </row>
    <row r="32" ht="21.75" customHeight="1">
      <c r="A32" s="23" t="s">
        <v>511</v>
      </c>
      <c r="B32" s="23" t="s">
        <v>512</v>
      </c>
      <c r="C32" s="23" t="s">
        <v>513</v>
      </c>
    </row>
    <row r="33" ht="21.75" customHeight="1">
      <c r="A33" s="11"/>
      <c r="B33" s="11"/>
      <c r="C33" s="11"/>
    </row>
    <row r="34" ht="24.0" customHeight="1">
      <c r="A34" s="62" t="s">
        <v>514</v>
      </c>
      <c r="B34" s="62"/>
      <c r="C34" s="62"/>
    </row>
    <row r="35" ht="21.75" customHeight="1">
      <c r="A35" s="11" t="s">
        <v>515</v>
      </c>
      <c r="B35" s="11" t="s">
        <v>516</v>
      </c>
      <c r="C35" s="11" t="s">
        <v>517</v>
      </c>
    </row>
    <row r="36" ht="21.75" customHeight="1">
      <c r="A36" s="23" t="s">
        <v>518</v>
      </c>
      <c r="B36" s="23" t="s">
        <v>519</v>
      </c>
      <c r="C36" s="23" t="s">
        <v>520</v>
      </c>
    </row>
    <row r="37" ht="21.75" customHeight="1">
      <c r="A37" s="11" t="s">
        <v>521</v>
      </c>
      <c r="B37" s="11" t="s">
        <v>522</v>
      </c>
      <c r="C37" s="11" t="s">
        <v>523</v>
      </c>
    </row>
    <row r="38" ht="21.75" customHeight="1">
      <c r="A38" s="23"/>
      <c r="B38" s="23"/>
      <c r="C38" s="23"/>
    </row>
    <row r="39" ht="24.0" customHeight="1">
      <c r="A39" s="62" t="s">
        <v>524</v>
      </c>
      <c r="B39" s="62"/>
      <c r="C39" s="62"/>
    </row>
    <row r="40" ht="21.75" customHeight="1">
      <c r="A40" s="23" t="s">
        <v>525</v>
      </c>
      <c r="B40" s="23" t="s">
        <v>526</v>
      </c>
      <c r="C40" s="23"/>
    </row>
    <row r="41" ht="21.75" customHeight="1">
      <c r="A41" s="11"/>
      <c r="B41" s="11" t="s">
        <v>527</v>
      </c>
      <c r="C41" s="11"/>
    </row>
    <row r="42" ht="21.75" customHeight="1">
      <c r="A42" s="23"/>
      <c r="B42" s="23" t="s">
        <v>528</v>
      </c>
      <c r="C42" s="2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2026-05-06T08:20:12Z</dcterms:created>
  <dc:creator>openpyxl</dc:creator>
  <dc:description/>
  <dc:language>en-US</dc:language>
  <cp:lastModifiedBy/>
  <dcterms:modified xsi:type="dcterms:W3CDTF">2026-05-06T08:20:13Z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