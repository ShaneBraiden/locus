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Q&amp;A Engine" sheetId="1" state="visible" r:id="rId1"/>
    <sheet xmlns:r="http://schemas.openxmlformats.org/officeDocument/2006/relationships" name="Student Calculator" sheetId="2" state="visible" r:id="rId2"/>
    <sheet xmlns:r="http://schemas.openxmlformats.org/officeDocument/2006/relationships" name="Career Match Engine" sheetId="3" state="visible" r:id="rId3"/>
    <sheet xmlns:r="http://schemas.openxmlformats.org/officeDocument/2006/relationships" name="Degree Pivot Map" sheetId="4" state="visible" r:id="rId4"/>
    <sheet xmlns:r="http://schemas.openxmlformats.org/officeDocument/2006/relationships" name="Thresholds &amp; Integration" sheetId="5" state="visible" r:id="rId5"/>
  </sheets>
  <definedNames>
    <definedName name="_xlnm._FilterDatabase" localSheetId="2" hidden="1">'Career Match Engine'!$A$3:$R$255</definedName>
    <definedName name="_xlnm._FilterDatabase" localSheetId="3" hidden="1">'Degree Pivot Map'!$A$3:$G$51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\%"/>
  </numFmts>
  <fonts count="38">
    <font>
      <name val="Arial"/>
      <color rgb="00000000"/>
      <sz val="11"/>
      <scheme val="minor"/>
    </font>
    <font>
      <name val="Arial"/>
      <b val="1"/>
      <color rgb="FFFFFFFF"/>
      <sz val="14"/>
    </font>
    <font/>
    <font>
      <name val="Arial"/>
      <i val="1"/>
      <color rgb="FFFFFFFF"/>
      <sz val="10"/>
    </font>
    <font>
      <name val="Arial"/>
      <b val="1"/>
      <color rgb="FF1A1A2E"/>
      <sz val="9"/>
    </font>
    <font>
      <name val="Arial"/>
      <b val="1"/>
      <color rgb="FFFFFFFF"/>
      <sz val="10"/>
    </font>
    <font>
      <name val="Arial"/>
      <b val="1"/>
      <color rgb="FFE23744"/>
      <sz val="11"/>
    </font>
    <font>
      <name val="Arial"/>
      <color rgb="FF1A1A2E"/>
      <sz val="9"/>
    </font>
    <font>
      <name val="Arial"/>
      <b val="1"/>
      <color rgb="FF27AE60"/>
      <sz val="11"/>
    </font>
    <font>
      <name val="Arial"/>
      <b val="1"/>
      <color rgb="FF1A1A2E"/>
      <sz val="11"/>
    </font>
    <font>
      <name val="Arial"/>
      <i val="1"/>
      <color rgb="FF1A1A2E"/>
      <sz val="8"/>
    </font>
    <font>
      <name val="Arial"/>
      <color rgb="FF1A1A2E"/>
      <sz val="8"/>
    </font>
    <font>
      <name val="Arial"/>
      <b val="1"/>
      <color rgb="FFE67E22"/>
      <sz val="11"/>
    </font>
    <font>
      <name val="Arial"/>
      <b val="1"/>
      <color rgb="FFFFFFFF"/>
      <sz val="13"/>
    </font>
    <font>
      <name val="Arial"/>
      <i val="1"/>
      <color rgb="FF1A1A2E"/>
      <sz val="9"/>
    </font>
    <font>
      <name val="Arial"/>
      <b val="1"/>
      <color rgb="FFFFFFFF"/>
      <sz val="9"/>
    </font>
    <font>
      <name val="Arial"/>
      <i val="1"/>
      <color rgb="FFAAAAAA"/>
      <sz val="9"/>
    </font>
    <font>
      <name val="Arial"/>
      <b val="1"/>
      <color rgb="FFFFFFFF"/>
      <sz val="11"/>
    </font>
    <font>
      <name val="Arial"/>
      <b val="1"/>
      <color rgb="FFFFFFFF"/>
      <sz val="12"/>
    </font>
    <font>
      <name val="Arial"/>
      <b val="1"/>
      <color rgb="FF1A1A2E"/>
      <sz val="12"/>
    </font>
    <font>
      <name val="Arial"/>
      <b val="1"/>
      <color rgb="FF1A1A2E"/>
      <sz val="10"/>
    </font>
    <font>
      <name val="Arial"/>
      <b val="1"/>
      <color rgb="FFFFFFFF"/>
      <sz val="16"/>
    </font>
    <font>
      <name val="Arial"/>
      <i val="1"/>
      <color rgb="FFC0392B"/>
      <sz val="9"/>
    </font>
    <font>
      <name val="Arial"/>
      <b val="1"/>
      <sz val="10"/>
    </font>
    <font>
      <name val="Arial"/>
      <b val="1"/>
      <sz val="9"/>
    </font>
    <font>
      <b val="1"/>
      <color rgb="FFFFFFFF"/>
      <sz val="9"/>
    </font>
    <font>
      <color rgb="FF1A1A2E"/>
      <sz val="9"/>
    </font>
    <font>
      <b val="1"/>
      <color rgb="FF1A1A2E"/>
      <sz val="9"/>
    </font>
    <font>
      <color rgb="FF1A1A2E"/>
      <sz val="8"/>
    </font>
    <font>
      <b val="1"/>
      <sz val="10"/>
    </font>
    <font>
      <b val="1"/>
      <sz val="9"/>
    </font>
    <font>
      <b val="1"/>
      <color rgb="FF9B1C1C"/>
      <sz val="8"/>
    </font>
    <font>
      <b val="1"/>
      <color rgb="FFB45309"/>
      <sz val="8"/>
    </font>
    <font>
      <b val="1"/>
      <color rgb="FF1B7F4B"/>
      <sz val="8"/>
    </font>
    <font>
      <b val="1"/>
      <color rgb="FFFFFFFF"/>
      <sz val="13"/>
    </font>
    <font>
      <i val="1"/>
      <color rgb="FF1A1A2E"/>
      <sz val="9"/>
    </font>
    <font>
      <color rgb="FF6B7280"/>
      <sz val="8"/>
    </font>
    <font>
      <b val="1"/>
      <color rgb="FFFFFFFF"/>
      <sz val="10"/>
    </font>
  </fonts>
  <fills count="19">
    <fill>
      <patternFill/>
    </fill>
    <fill>
      <patternFill patternType="lightGray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BF5FB"/>
        <bgColor rgb="FFEBF5FB"/>
      </patternFill>
    </fill>
    <fill>
      <patternFill patternType="solid">
        <fgColor rgb="FF1A5276"/>
        <bgColor rgb="FF1A5276"/>
      </patternFill>
    </fill>
    <fill>
      <patternFill patternType="solid">
        <fgColor rgb="FFF8F9FA"/>
        <bgColor rgb="FFF8F9FA"/>
      </patternFill>
    </fill>
    <fill>
      <patternFill patternType="solid">
        <fgColor rgb="FFD6EAF8"/>
        <bgColor rgb="FFD6EAF8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E8DAEF"/>
        <bgColor rgb="FFE8DAEF"/>
      </patternFill>
    </fill>
    <fill>
      <patternFill patternType="solid">
        <fgColor rgb="FFFADBD8"/>
        <bgColor rgb="FFFADBD8"/>
      </patternFill>
    </fill>
    <fill>
      <patternFill patternType="solid">
        <fgColor rgb="FFFFFFFF"/>
        <bgColor rgb="FFFFFFFF"/>
      </patternFill>
    </fill>
    <fill>
      <patternFill patternType="solid">
        <fgColor rgb="FFFFFDE7"/>
        <bgColor rgb="FFFFFDE7"/>
      </patternFill>
    </fill>
    <fill>
      <patternFill patternType="solid">
        <fgColor rgb="FFE23744"/>
        <bgColor rgb="FFE23744"/>
      </patternFill>
    </fill>
    <fill>
      <patternFill patternType="solid">
        <fgColor rgb="FF16213E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1A1A2E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BBBBBB"/>
      </left>
      <top style="medium">
        <color rgb="FFBBBBBB"/>
      </top>
      <bottom style="medium">
        <color rgb="FFBBBBBB"/>
      </bottom>
    </border>
    <border>
      <top style="medium">
        <color rgb="FFBBBBBB"/>
      </top>
      <bottom style="medium">
        <color rgb="FFBBBBBB"/>
      </bottom>
    </border>
    <border>
      <right/>
      <top style="medium">
        <color rgb="FFBBBBBB"/>
      </top>
      <bottom style="medium">
        <color rgb="FFBBBBBB"/>
      </bottom>
    </border>
    <border>
      <left/>
      <right/>
      <top/>
      <bottom/>
    </border>
    <border>
      <left style="medium">
        <color rgb="FFBBBBBB"/>
      </left>
      <right/>
      <top style="medium">
        <color rgb="FFBBBBBB"/>
      </top>
      <bottom style="medium">
        <color rgb="FFBBBBBB"/>
      </bottom>
    </border>
    <border>
      <top style="medium">
        <color rgb="FFBBBBBB"/>
      </top>
    </border>
    <border>
      <bottom style="thin">
        <color rgb="FFDDDDDD"/>
      </bottom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6" fillId="6" borderId="4" applyAlignment="1" pivotButton="0" quotePrefix="0" xfId="0">
      <alignment horizontal="center" vertical="center"/>
    </xf>
    <xf numFmtId="0" fontId="4" fillId="6" borderId="4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8" fillId="7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 wrapText="1"/>
    </xf>
    <xf numFmtId="0" fontId="11" fillId="6" borderId="4" applyAlignment="1" pivotButton="0" quotePrefix="0" xfId="0">
      <alignment horizontal="left" vertical="center" wrapText="1"/>
    </xf>
    <xf numFmtId="0" fontId="12" fillId="8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12" fillId="11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0" fontId="6" fillId="12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 wrapText="1"/>
    </xf>
    <xf numFmtId="0" fontId="7" fillId="12" borderId="4" applyAlignment="1" pivotButton="0" quotePrefix="0" xfId="0">
      <alignment horizontal="left" vertical="center" wrapText="1"/>
    </xf>
    <xf numFmtId="0" fontId="9" fillId="12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 wrapText="1"/>
    </xf>
    <xf numFmtId="0" fontId="11" fillId="12" borderId="4" applyAlignment="1" pivotButton="0" quotePrefix="0" xfId="0">
      <alignment horizontal="left" vertical="center" wrapText="1"/>
    </xf>
    <xf numFmtId="0" fontId="12" fillId="7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3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left" vertical="center"/>
    </xf>
    <xf numFmtId="0" fontId="9" fillId="13" borderId="4" applyAlignment="1" pivotButton="0" quotePrefix="0" xfId="0">
      <alignment horizontal="center" vertical="center"/>
    </xf>
    <xf numFmtId="0" fontId="16" fillId="12" borderId="4" applyAlignment="1" pivotButton="0" quotePrefix="0" xfId="0">
      <alignment horizontal="left" vertical="center"/>
    </xf>
    <xf numFmtId="0" fontId="17" fillId="2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7" fillId="3" borderId="4" applyAlignment="1" pivotButton="0" quotePrefix="0" xfId="0">
      <alignment horizontal="center" vertical="center"/>
    </xf>
    <xf numFmtId="0" fontId="15" fillId="3" borderId="4" applyAlignment="1" pivotButton="0" quotePrefix="0" xfId="0">
      <alignment horizontal="center" vertical="center"/>
    </xf>
    <xf numFmtId="164" fontId="19" fillId="7" borderId="4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6" fillId="0" borderId="5" applyAlignment="1" pivotButton="0" quotePrefix="0" xfId="0">
      <alignment horizontal="center" vertical="center"/>
    </xf>
    <xf numFmtId="0" fontId="2" fillId="0" borderId="6" pivotButton="0" quotePrefix="0" xfId="0"/>
    <xf numFmtId="0" fontId="20" fillId="0" borderId="0" applyAlignment="1" pivotButton="0" quotePrefix="0" xfId="0">
      <alignment vertical="bottom"/>
    </xf>
    <xf numFmtId="0" fontId="21" fillId="14" borderId="5" applyAlignment="1" pivotButton="0" quotePrefix="0" xfId="0">
      <alignment horizontal="center" vertical="center"/>
    </xf>
    <xf numFmtId="0" fontId="2" fillId="0" borderId="7" pivotButton="0" quotePrefix="0" xfId="0"/>
    <xf numFmtId="0" fontId="14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4" fillId="6" borderId="4" applyAlignment="1" pivotButton="0" quotePrefix="0" xfId="0">
      <alignment horizontal="left" vertical="center"/>
    </xf>
    <xf numFmtId="0" fontId="11" fillId="6" borderId="4" applyAlignment="1" pivotButton="0" quotePrefix="0" xfId="0">
      <alignment horizontal="center" vertical="center"/>
    </xf>
    <xf numFmtId="0" fontId="23" fillId="6" borderId="4" applyAlignment="1" pivotButton="0" quotePrefix="0" xfId="0">
      <alignment horizontal="center" vertical="center"/>
    </xf>
    <xf numFmtId="0" fontId="24" fillId="6" borderId="4" applyAlignment="1" pivotButton="0" quotePrefix="0" xfId="0">
      <alignment horizontal="center" vertical="center"/>
    </xf>
    <xf numFmtId="0" fontId="7" fillId="12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11" fillId="12" borderId="4" applyAlignment="1" pivotButton="0" quotePrefix="0" xfId="0">
      <alignment horizontal="center" vertical="center"/>
    </xf>
    <xf numFmtId="0" fontId="23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3" borderId="8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4" fillId="4" borderId="8" applyAlignment="1" pivotButton="0" quotePrefix="0" xfId="0">
      <alignment horizontal="center" vertical="center"/>
    </xf>
    <xf numFmtId="0" fontId="18" fillId="2" borderId="8" applyAlignment="1" pivotButton="0" quotePrefix="0" xfId="0">
      <alignment horizontal="center" vertical="center"/>
    </xf>
    <xf numFmtId="0" fontId="0" fillId="0" borderId="6" pivotButton="0" quotePrefix="0" xfId="0"/>
    <xf numFmtId="0" fontId="21" fillId="14" borderId="9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34" fillId="18" borderId="8" applyAlignment="1" pivotButton="0" quotePrefix="0" xfId="0">
      <alignment horizontal="left" vertical="center" indent="1"/>
    </xf>
    <xf numFmtId="0" fontId="35" fillId="4" borderId="8" applyAlignment="1" pivotButton="0" quotePrefix="0" xfId="0">
      <alignment horizontal="left" vertical="center" wrapText="1" indent="1"/>
    </xf>
    <xf numFmtId="0" fontId="25" fillId="15" borderId="11" applyAlignment="1" pivotButton="0" quotePrefix="0" xfId="0">
      <alignment horizontal="center" vertical="center" wrapText="1"/>
    </xf>
    <xf numFmtId="0" fontId="26" fillId="16" borderId="11" applyAlignment="1" pivotButton="0" quotePrefix="0" xfId="0">
      <alignment horizontal="center" vertical="center"/>
    </xf>
    <xf numFmtId="0" fontId="27" fillId="16" borderId="11" applyAlignment="1" pivotButton="0" quotePrefix="0" xfId="0">
      <alignment horizontal="left" vertical="center"/>
    </xf>
    <xf numFmtId="0" fontId="28" fillId="16" borderId="11" applyAlignment="1" pivotButton="0" quotePrefix="0" xfId="0">
      <alignment horizontal="center" vertical="center"/>
    </xf>
    <xf numFmtId="0" fontId="29" fillId="16" borderId="11" applyAlignment="1" pivotButton="0" quotePrefix="0" xfId="0">
      <alignment horizontal="center" vertical="center"/>
    </xf>
    <xf numFmtId="0" fontId="30" fillId="16" borderId="11" applyAlignment="1" pivotButton="0" quotePrefix="0" xfId="0">
      <alignment horizontal="center" vertical="center"/>
    </xf>
    <xf numFmtId="0" fontId="28" fillId="16" borderId="11" applyAlignment="1" pivotButton="0" quotePrefix="0" xfId="0">
      <alignment horizontal="left" vertical="center" wrapText="1"/>
    </xf>
    <xf numFmtId="0" fontId="31" fillId="16" borderId="11" applyAlignment="1" pivotButton="0" quotePrefix="0" xfId="0">
      <alignment horizontal="center" vertical="center"/>
    </xf>
    <xf numFmtId="0" fontId="26" fillId="17" borderId="11" applyAlignment="1" pivotButton="0" quotePrefix="0" xfId="0">
      <alignment horizontal="center" vertical="center"/>
    </xf>
    <xf numFmtId="0" fontId="27" fillId="17" borderId="11" applyAlignment="1" pivotButton="0" quotePrefix="0" xfId="0">
      <alignment horizontal="left" vertical="center"/>
    </xf>
    <xf numFmtId="0" fontId="28" fillId="17" borderId="11" applyAlignment="1" pivotButton="0" quotePrefix="0" xfId="0">
      <alignment horizontal="center" vertical="center"/>
    </xf>
    <xf numFmtId="0" fontId="29" fillId="17" borderId="11" applyAlignment="1" pivotButton="0" quotePrefix="0" xfId="0">
      <alignment horizontal="center" vertical="center"/>
    </xf>
    <xf numFmtId="0" fontId="30" fillId="17" borderId="11" applyAlignment="1" pivotButton="0" quotePrefix="0" xfId="0">
      <alignment horizontal="center" vertical="center"/>
    </xf>
    <xf numFmtId="0" fontId="28" fillId="17" borderId="11" applyAlignment="1" pivotButton="0" quotePrefix="0" xfId="0">
      <alignment horizontal="left" vertical="center" wrapText="1"/>
    </xf>
    <xf numFmtId="0" fontId="31" fillId="17" borderId="11" applyAlignment="1" pivotButton="0" quotePrefix="0" xfId="0">
      <alignment horizontal="center" vertical="center"/>
    </xf>
    <xf numFmtId="0" fontId="32" fillId="16" borderId="11" applyAlignment="1" pivotButton="0" quotePrefix="0" xfId="0">
      <alignment horizontal="center" vertical="center"/>
    </xf>
    <xf numFmtId="0" fontId="32" fillId="17" borderId="11" applyAlignment="1" pivotButton="0" quotePrefix="0" xfId="0">
      <alignment horizontal="center" vertical="center"/>
    </xf>
    <xf numFmtId="0" fontId="33" fillId="16" borderId="11" applyAlignment="1" pivotButton="0" quotePrefix="0" xfId="0">
      <alignment horizontal="center" vertical="center"/>
    </xf>
    <xf numFmtId="0" fontId="33" fillId="17" borderId="11" applyAlignment="1" pivotButton="0" quotePrefix="0" xfId="0">
      <alignment horizontal="center" vertical="center"/>
    </xf>
    <xf numFmtId="0" fontId="34" fillId="18" borderId="0" applyAlignment="1" pivotButton="0" quotePrefix="0" xfId="0">
      <alignment horizontal="left" vertical="center" indent="1"/>
    </xf>
    <xf numFmtId="0" fontId="35" fillId="0" borderId="0" applyAlignment="1" pivotButton="0" quotePrefix="0" xfId="0">
      <alignment horizontal="left" vertical="center" wrapText="1" indent="1"/>
    </xf>
    <xf numFmtId="0" fontId="27" fillId="16" borderId="11" applyAlignment="1" pivotButton="0" quotePrefix="0" xfId="0">
      <alignment horizontal="left" vertical="top" wrapText="1"/>
    </xf>
    <xf numFmtId="0" fontId="36" fillId="16" borderId="11" applyAlignment="1" pivotButton="0" quotePrefix="0" xfId="0">
      <alignment horizontal="left" vertical="top" wrapText="1"/>
    </xf>
    <xf numFmtId="0" fontId="28" fillId="16" borderId="11" applyAlignment="1" pivotButton="0" quotePrefix="0" xfId="0">
      <alignment horizontal="left" vertical="top" wrapText="1"/>
    </xf>
    <xf numFmtId="0" fontId="27" fillId="17" borderId="11" applyAlignment="1" pivotButton="0" quotePrefix="0" xfId="0">
      <alignment horizontal="left" vertical="top" wrapText="1"/>
    </xf>
    <xf numFmtId="0" fontId="36" fillId="17" borderId="11" applyAlignment="1" pivotButton="0" quotePrefix="0" xfId="0">
      <alignment horizontal="left" vertical="top" wrapText="1"/>
    </xf>
    <xf numFmtId="0" fontId="28" fillId="17" borderId="11" applyAlignment="1" pivotButton="0" quotePrefix="0" xfId="0">
      <alignment horizontal="left" vertical="top" wrapText="1"/>
    </xf>
    <xf numFmtId="0" fontId="37" fillId="15" borderId="0" pivotButton="0" quotePrefix="0" xfId="0"/>
    <xf numFmtId="0" fontId="0" fillId="15" borderId="0" pivotButton="0" quotePrefix="0" xfId="0"/>
    <xf numFmtId="0" fontId="27" fillId="0" borderId="0" applyAlignment="1" pivotButton="0" quotePrefix="0" xfId="0">
      <alignment horizontal="left" vertical="top" wrapText="1"/>
    </xf>
    <xf numFmtId="0" fontId="26" fillId="0" borderId="0" applyAlignment="1" pivotButton="0" quotePrefix="0" xfId="0">
      <alignment horizontal="left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b="0" l="0" r="0" t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b="0" l="0" r="0" t="0"/>
        </a:gradFill>
      </a:fillStyleLst>
      <a:lnStyleLst>
        <a:ln cap="flat" cmpd="sng" w="9525" algn="ctr">
          <a:prstDash val="solid"/>
        </a:ln>
        <a:ln cap="flat" cmpd="sng" w="25400" algn="ctr">
          <a:prstDash val="solid"/>
        </a:ln>
        <a:ln cap="flat" cmpd="sng" w="38100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b="180000" l="50000" r="50000" t="-80000"/>
          </a:path>
          <a:tileRect b="0" l="0" r="0" t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b="50000" l="50000" r="50000" t="50000"/>
          </a:path>
          <a:tileRect b="0" l="0" r="0" t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selection activeCell="A1" sqref="A1"/>
    </sheetView>
  </sheetViews>
  <sheetFormatPr baseColWidth="8" defaultColWidth="12.63" defaultRowHeight="15" customHeight="1"/>
  <cols>
    <col width="5.25" customWidth="1" style="63" min="1" max="1"/>
    <col width="45.5" customWidth="1" style="63" min="2" max="2"/>
    <col width="36.75" customWidth="1" style="63" min="3" max="3"/>
    <col width="7" customWidth="1" style="63" min="4" max="8"/>
    <col width="14" customWidth="1" style="63" min="9" max="9"/>
    <col width="17.5" customWidth="1" style="63" min="10" max="10"/>
    <col width="7.63" customWidth="1" style="63" min="11" max="11"/>
  </cols>
  <sheetData>
    <row r="1" ht="31.5" customHeight="1" s="63">
      <c r="A1" s="64" t="inlineStr">
        <is>
          <t>LOCUS  ·  PSYCHOMETRIC SCORING ENGINE  ·  25-QUESTION INSTRUMENT</t>
        </is>
      </c>
    </row>
    <row r="2" ht="19.5" customHeight="1" s="63">
      <c r="A2" s="65" t="inlineStr">
        <is>
          <t>Holland (RIASEC)  ·  Big Five (OCEAN)  ·  Self-Determination Theory  ·  Multiple Intelligences  ·  Career Decision-Making</t>
        </is>
      </c>
    </row>
    <row r="3" ht="7.5" customHeight="1" s="63"/>
    <row r="4" ht="18" customHeight="1" s="63">
      <c r="A4" s="66" t="inlineStr">
        <is>
          <t>SCORE COLUMNS →  H = Holland RIASEC  |  O = Big Five OCEAN  |  S = Self-Determination Theory  |  M = Multiple Intelligences  |  D = Decision-Making Readiness</t>
        </is>
      </c>
    </row>
    <row r="5" ht="19.5" customHeight="1" s="63">
      <c r="A5" s="6" t="inlineStr">
        <is>
          <t>Q#</t>
        </is>
      </c>
      <c r="B5" s="6" t="inlineStr">
        <is>
          <t>Question / Scenario</t>
        </is>
      </c>
      <c r="C5" s="6" t="inlineStr">
        <is>
          <t>Answer Option</t>
        </is>
      </c>
      <c r="D5" s="7" t="inlineStr">
        <is>
          <t>H</t>
        </is>
      </c>
      <c r="E5" s="7" t="inlineStr">
        <is>
          <t>O</t>
        </is>
      </c>
      <c r="F5" s="7" t="inlineStr">
        <is>
          <t>S</t>
        </is>
      </c>
      <c r="G5" s="7" t="inlineStr">
        <is>
          <t>M</t>
        </is>
      </c>
      <c r="H5" s="7" t="inlineStr">
        <is>
          <t>D</t>
        </is>
      </c>
      <c r="I5" s="8" t="inlineStr">
        <is>
          <t>Theory Focus</t>
        </is>
      </c>
      <c r="J5" s="8" t="inlineStr">
        <is>
          <t>Construct Measured</t>
        </is>
      </c>
    </row>
    <row r="6" ht="27.75" customHeight="1" s="63">
      <c r="A6" s="9" t="n">
        <v>1</v>
      </c>
      <c r="B6" s="10" t="inlineStr">
        <is>
          <t>Your college fest committee needs volunteers. Which role do you sign up for without hesitation?</t>
        </is>
      </c>
      <c r="C6" s="11" t="inlineStr">
        <is>
          <t>A — Set up and manage the stage equipment and sound system</t>
        </is>
      </c>
      <c r="D6" s="12" t="n">
        <v>5</v>
      </c>
      <c r="E6" s="13" t="n">
        <v>1</v>
      </c>
      <c r="F6" s="13" t="n">
        <v>3</v>
      </c>
      <c r="G6" s="13" t="n">
        <v>2</v>
      </c>
      <c r="H6" s="13" t="n">
        <v>2</v>
      </c>
      <c r="I6" s="14" t="inlineStr">
        <is>
          <t>Holland</t>
        </is>
      </c>
      <c r="J6" s="15" t="inlineStr">
        <is>
          <t>Realistic (R)</t>
        </is>
      </c>
    </row>
    <row r="7" ht="21.75" customHeight="1" s="63">
      <c r="A7" s="9" t="n"/>
      <c r="B7" s="11" t="n"/>
      <c r="C7" s="11" t="inlineStr">
        <is>
          <t>B — Research and design the event theme with data from past fests</t>
        </is>
      </c>
      <c r="D7" s="13" t="n">
        <v>2</v>
      </c>
      <c r="E7" s="16" t="n">
        <v>4</v>
      </c>
      <c r="F7" s="17" t="n">
        <v>4</v>
      </c>
      <c r="G7" s="13" t="n">
        <v>3</v>
      </c>
      <c r="H7" s="13" t="n">
        <v>3</v>
      </c>
      <c r="I7" s="14" t="inlineStr">
        <is>
          <t>Holland + SDT</t>
        </is>
      </c>
      <c r="J7" s="15" t="inlineStr">
        <is>
          <t>Investigative (I) + Autonomy</t>
        </is>
      </c>
    </row>
    <row r="8" ht="21.75" customHeight="1" s="63">
      <c r="A8" s="9" t="n"/>
      <c r="B8" s="11" t="n"/>
      <c r="C8" s="11" t="inlineStr">
        <is>
          <t>C — Coordinate all volunteers, make sure everyone has a role</t>
        </is>
      </c>
      <c r="D8" s="13" t="n">
        <v>2</v>
      </c>
      <c r="E8" s="13" t="n">
        <v>3</v>
      </c>
      <c r="F8" s="17" t="n">
        <v>4</v>
      </c>
      <c r="G8" s="18" t="n">
        <v>5</v>
      </c>
      <c r="H8" s="19" t="n">
        <v>4</v>
      </c>
      <c r="I8" s="14" t="inlineStr">
        <is>
          <t>Holland + MI</t>
        </is>
      </c>
      <c r="J8" s="15" t="inlineStr">
        <is>
          <t>Social (S) + Interpersonal Intel</t>
        </is>
      </c>
    </row>
    <row r="9" ht="21.75" customHeight="1" s="63">
      <c r="A9" s="9" t="n"/>
      <c r="B9" s="11" t="n"/>
      <c r="C9" s="11" t="inlineStr">
        <is>
          <t>D — Promote the fest on social media and design creatives</t>
        </is>
      </c>
      <c r="D9" s="13" t="n">
        <v>3</v>
      </c>
      <c r="E9" s="13" t="n">
        <v>2</v>
      </c>
      <c r="F9" s="13" t="n">
        <v>3</v>
      </c>
      <c r="G9" s="20" t="n">
        <v>4</v>
      </c>
      <c r="H9" s="13" t="n">
        <v>3</v>
      </c>
      <c r="I9" s="14" t="inlineStr">
        <is>
          <t>Holland</t>
        </is>
      </c>
      <c r="J9" s="15" t="inlineStr">
        <is>
          <t>Artistic (A)</t>
        </is>
      </c>
    </row>
    <row r="10" ht="21.75" customHeight="1" s="63">
      <c r="A10" s="9" t="n"/>
      <c r="B10" s="11" t="n"/>
      <c r="C10" s="11" t="inlineStr">
        <is>
          <t>E — Handle registrations, budget tracking, and vendor payments</t>
        </is>
      </c>
      <c r="D10" s="13" t="n">
        <v>2</v>
      </c>
      <c r="E10" s="16" t="n">
        <v>4</v>
      </c>
      <c r="F10" s="13" t="n">
        <v>2</v>
      </c>
      <c r="G10" s="13" t="n">
        <v>2</v>
      </c>
      <c r="H10" s="19" t="n">
        <v>4</v>
      </c>
      <c r="I10" s="14" t="inlineStr">
        <is>
          <t>Holland</t>
        </is>
      </c>
      <c r="J10" s="15" t="inlineStr">
        <is>
          <t>Conventional (C)</t>
        </is>
      </c>
    </row>
    <row r="11" ht="27.75" customHeight="1" s="63">
      <c r="A11" s="21" t="n">
        <v>2</v>
      </c>
      <c r="B11" s="22" t="inlineStr">
        <is>
          <t>You have a major exam in 3 weeks and a club event happening this weekend. What do you actually do?</t>
        </is>
      </c>
      <c r="C11" s="23" t="inlineStr">
        <is>
          <t>A — Skip the event, start studying immediately with a fixed schedule</t>
        </is>
      </c>
      <c r="D11" s="24" t="n">
        <v>2</v>
      </c>
      <c r="E11" s="25" t="n">
        <v>5</v>
      </c>
      <c r="F11" s="24" t="n">
        <v>2</v>
      </c>
      <c r="G11" s="24" t="n">
        <v>2</v>
      </c>
      <c r="H11" s="26" t="n">
        <v>5</v>
      </c>
      <c r="I11" s="27" t="inlineStr">
        <is>
          <t>Big Five</t>
        </is>
      </c>
      <c r="J11" s="28" t="inlineStr">
        <is>
          <t>Conscientiousness (High)</t>
        </is>
      </c>
    </row>
    <row r="12" ht="21.75" customHeight="1" s="63">
      <c r="A12" s="21" t="n"/>
      <c r="B12" s="23" t="n"/>
      <c r="C12" s="23" t="inlineStr">
        <is>
          <t>B — Attend the event but study every other day leading up to the exam</t>
        </is>
      </c>
      <c r="D12" s="24" t="n">
        <v>3</v>
      </c>
      <c r="E12" s="24" t="n">
        <v>3</v>
      </c>
      <c r="F12" s="24" t="n">
        <v>3</v>
      </c>
      <c r="G12" s="24" t="n">
        <v>3</v>
      </c>
      <c r="H12" s="24" t="n">
        <v>3</v>
      </c>
      <c r="I12" s="27" t="inlineStr">
        <is>
          <t>Big Five</t>
        </is>
      </c>
      <c r="J12" s="28" t="inlineStr">
        <is>
          <t>Conscientiousness (Mid)</t>
        </is>
      </c>
    </row>
    <row r="13" ht="21.75" customHeight="1" s="63">
      <c r="A13" s="21" t="n"/>
      <c r="B13" s="23" t="n"/>
      <c r="C13" s="23" t="inlineStr">
        <is>
          <t>C — Attend the event and cram the night before the exam</t>
        </is>
      </c>
      <c r="D13" s="29" t="n">
        <v>4</v>
      </c>
      <c r="E13" s="24" t="n">
        <v>1</v>
      </c>
      <c r="F13" s="24" t="n">
        <v>2</v>
      </c>
      <c r="G13" s="24" t="n">
        <v>3</v>
      </c>
      <c r="H13" s="24" t="n">
        <v>1</v>
      </c>
      <c r="I13" s="27" t="inlineStr">
        <is>
          <t>Big Five</t>
        </is>
      </c>
      <c r="J13" s="28" t="inlineStr">
        <is>
          <t>Conscientiousness (Low)</t>
        </is>
      </c>
    </row>
    <row r="14" ht="21.75" customHeight="1" s="63">
      <c r="A14" s="21" t="n"/>
      <c r="B14" s="23" t="n"/>
      <c r="C14" s="23" t="inlineStr">
        <is>
          <t>D — Delegate your club responsibilities to someone else so you can prepare</t>
        </is>
      </c>
      <c r="D14" s="24" t="n">
        <v>3</v>
      </c>
      <c r="E14" s="16" t="n">
        <v>4</v>
      </c>
      <c r="F14" s="17" t="n">
        <v>4</v>
      </c>
      <c r="G14" s="24" t="n">
        <v>3</v>
      </c>
      <c r="H14" s="19" t="n">
        <v>4</v>
      </c>
      <c r="I14" s="27" t="inlineStr">
        <is>
          <t>Big Five + SDT</t>
        </is>
      </c>
      <c r="J14" s="28" t="inlineStr">
        <is>
          <t>Conscientiousness + Competence</t>
        </is>
      </c>
    </row>
    <row r="15" ht="27.75" customHeight="1" s="63">
      <c r="A15" s="9" t="n">
        <v>3</v>
      </c>
      <c r="B15" s="10" t="inlineStr">
        <is>
          <t>You get two internship offers. Offer A pays ₹25,000/month in a field you find boring. Offer B pays ₹8,000 in a field that genuinely interests you. What do you pick?</t>
        </is>
      </c>
      <c r="C15" s="11" t="inlineStr">
        <is>
          <t>A — Offer A. Money now is more important</t>
        </is>
      </c>
      <c r="D15" s="13" t="n">
        <v>2</v>
      </c>
      <c r="E15" s="13" t="n">
        <v>3</v>
      </c>
      <c r="F15" s="13" t="n">
        <v>1</v>
      </c>
      <c r="G15" s="13" t="n">
        <v>2</v>
      </c>
      <c r="H15" s="13" t="n">
        <v>3</v>
      </c>
      <c r="I15" s="14" t="inlineStr">
        <is>
          <t>SDT</t>
        </is>
      </c>
      <c r="J15" s="15" t="inlineStr">
        <is>
          <t>Extrinsic Motivation</t>
        </is>
      </c>
    </row>
    <row r="16" ht="21.75" customHeight="1" s="63">
      <c r="A16" s="9" t="n"/>
      <c r="B16" s="11" t="n"/>
      <c r="C16" s="11" t="inlineStr">
        <is>
          <t>B — Offer B. The learning matters more than the pay at this stage</t>
        </is>
      </c>
      <c r="D16" s="29" t="n">
        <v>4</v>
      </c>
      <c r="E16" s="13" t="n">
        <v>3</v>
      </c>
      <c r="F16" s="30" t="n">
        <v>5</v>
      </c>
      <c r="G16" s="20" t="n">
        <v>4</v>
      </c>
      <c r="H16" s="19" t="n">
        <v>4</v>
      </c>
      <c r="I16" s="14" t="inlineStr">
        <is>
          <t>SDT</t>
        </is>
      </c>
      <c r="J16" s="15" t="inlineStr">
        <is>
          <t>Intrinsic Motivation + Autonomy</t>
        </is>
      </c>
    </row>
    <row r="17" ht="21.75" customHeight="1" s="63">
      <c r="A17" s="9" t="n"/>
      <c r="B17" s="11" t="n"/>
      <c r="C17" s="11" t="inlineStr">
        <is>
          <t>C — Negotiate Offer B's pay upward before deciding</t>
        </is>
      </c>
      <c r="D17" s="13" t="n">
        <v>3</v>
      </c>
      <c r="E17" s="16" t="n">
        <v>4</v>
      </c>
      <c r="F17" s="17" t="n">
        <v>4</v>
      </c>
      <c r="G17" s="13" t="n">
        <v>3</v>
      </c>
      <c r="H17" s="26" t="n">
        <v>5</v>
      </c>
      <c r="I17" s="14" t="inlineStr">
        <is>
          <t>SDT + CDM</t>
        </is>
      </c>
      <c r="J17" s="15" t="inlineStr">
        <is>
          <t>Autonomy + Decision-Making</t>
        </is>
      </c>
    </row>
    <row r="18" ht="21.75" customHeight="1" s="63">
      <c r="A18" s="9" t="n"/>
      <c r="B18" s="11" t="n"/>
      <c r="C18" s="11" t="inlineStr">
        <is>
          <t>D — Ask family, then decide based on their input</t>
        </is>
      </c>
      <c r="D18" s="13" t="n">
        <v>2</v>
      </c>
      <c r="E18" s="13" t="n">
        <v>2</v>
      </c>
      <c r="F18" s="13" t="n">
        <v>2</v>
      </c>
      <c r="G18" s="13" t="n">
        <v>2</v>
      </c>
      <c r="H18" s="13" t="n">
        <v>2</v>
      </c>
      <c r="I18" s="14" t="inlineStr">
        <is>
          <t>SDT</t>
        </is>
      </c>
      <c r="J18" s="15" t="inlineStr">
        <is>
          <t>Extrinsic + Relatedness low</t>
        </is>
      </c>
    </row>
    <row r="19" ht="27.75" customHeight="1" s="63">
      <c r="A19" s="21" t="n">
        <v>4</v>
      </c>
      <c r="B19" s="22" t="inlineStr">
        <is>
          <t>A friend describes their startup idea to you. What's the first thing your mind does?</t>
        </is>
      </c>
      <c r="C19" s="23" t="inlineStr">
        <is>
          <t>A — Start calculating if the numbers actually work — market size, costs, margins</t>
        </is>
      </c>
      <c r="D19" s="24" t="n">
        <v>2</v>
      </c>
      <c r="E19" s="25" t="n">
        <v>5</v>
      </c>
      <c r="F19" s="24" t="n">
        <v>3</v>
      </c>
      <c r="G19" s="24" t="n">
        <v>1</v>
      </c>
      <c r="H19" s="19" t="n">
        <v>4</v>
      </c>
      <c r="I19" s="27" t="inlineStr">
        <is>
          <t>MI</t>
        </is>
      </c>
      <c r="J19" s="28" t="inlineStr">
        <is>
          <t>Logical-Mathematical</t>
        </is>
      </c>
    </row>
    <row r="20" ht="21.75" customHeight="1" s="63">
      <c r="A20" s="21" t="n"/>
      <c r="B20" s="23" t="n"/>
      <c r="C20" s="23" t="inlineStr">
        <is>
          <t>B — Think about how to tell the story to investors or customers</t>
        </is>
      </c>
      <c r="D20" s="24" t="n">
        <v>3</v>
      </c>
      <c r="E20" s="24" t="n">
        <v>2</v>
      </c>
      <c r="F20" s="24" t="n">
        <v>3</v>
      </c>
      <c r="G20" s="18" t="n">
        <v>5</v>
      </c>
      <c r="H20" s="24" t="n">
        <v>3</v>
      </c>
      <c r="I20" s="27" t="inlineStr">
        <is>
          <t>MI</t>
        </is>
      </c>
      <c r="J20" s="28" t="inlineStr">
        <is>
          <t>Linguistic</t>
        </is>
      </c>
    </row>
    <row r="21" ht="21.75" customHeight="1" s="63">
      <c r="A21" s="21" t="n"/>
      <c r="B21" s="23" t="n"/>
      <c r="C21" s="23" t="inlineStr">
        <is>
          <t>C — Visualise the product — what it looks like, how it flows</t>
        </is>
      </c>
      <c r="D21" s="24" t="n">
        <v>3</v>
      </c>
      <c r="E21" s="24" t="n">
        <v>2</v>
      </c>
      <c r="F21" s="24" t="n">
        <v>3</v>
      </c>
      <c r="G21" s="20" t="n">
        <v>4</v>
      </c>
      <c r="H21" s="24" t="n">
        <v>3</v>
      </c>
      <c r="I21" s="27" t="inlineStr">
        <is>
          <t>MI</t>
        </is>
      </c>
      <c r="J21" s="28" t="inlineStr">
        <is>
          <t>Spatial</t>
        </is>
      </c>
    </row>
    <row r="22" ht="21.75" customHeight="1" s="63">
      <c r="A22" s="21" t="n"/>
      <c r="B22" s="23" t="n"/>
      <c r="C22" s="23" t="inlineStr">
        <is>
          <t>D — Immediately think about the team — who's needed, what roles</t>
        </is>
      </c>
      <c r="D22" s="24" t="n">
        <v>2</v>
      </c>
      <c r="E22" s="24" t="n">
        <v>3</v>
      </c>
      <c r="F22" s="17" t="n">
        <v>4</v>
      </c>
      <c r="G22" s="18" t="n">
        <v>5</v>
      </c>
      <c r="H22" s="24" t="n">
        <v>3</v>
      </c>
      <c r="I22" s="27" t="inlineStr">
        <is>
          <t>MI</t>
        </is>
      </c>
      <c r="J22" s="28" t="inlineStr">
        <is>
          <t>Interpersonal</t>
        </is>
      </c>
    </row>
    <row r="23" ht="21.75" customHeight="1" s="63">
      <c r="A23" s="21" t="n"/>
      <c r="B23" s="23" t="n"/>
      <c r="C23" s="23" t="inlineStr">
        <is>
          <t>E — Ask whether this idea actually solves a real human problem</t>
        </is>
      </c>
      <c r="D23" s="29" t="n">
        <v>4</v>
      </c>
      <c r="E23" s="24" t="n">
        <v>3</v>
      </c>
      <c r="F23" s="30" t="n">
        <v>5</v>
      </c>
      <c r="G23" s="24" t="n">
        <v>3</v>
      </c>
      <c r="H23" s="19" t="n">
        <v>4</v>
      </c>
      <c r="I23" s="27" t="inlineStr">
        <is>
          <t>MI + SDT</t>
        </is>
      </c>
      <c r="J23" s="28" t="inlineStr">
        <is>
          <t>Intrapersonal + Competence</t>
        </is>
      </c>
    </row>
    <row r="24" ht="27.75" customHeight="1" s="63">
      <c r="A24" s="9" t="n">
        <v>5</v>
      </c>
      <c r="B24" s="10" t="inlineStr">
        <is>
          <t>You're given free time and a small budget of ₹5,000. You most naturally…</t>
        </is>
      </c>
      <c r="C24" s="11" t="inlineStr">
        <is>
          <t>A — Start a small resale or service business to turn a profit</t>
        </is>
      </c>
      <c r="D24" s="12" t="n">
        <v>5</v>
      </c>
      <c r="E24" s="13" t="n">
        <v>3</v>
      </c>
      <c r="F24" s="17" t="n">
        <v>4</v>
      </c>
      <c r="G24" s="13" t="n">
        <v>3</v>
      </c>
      <c r="H24" s="19" t="n">
        <v>4</v>
      </c>
      <c r="I24" s="14" t="inlineStr">
        <is>
          <t>Holland</t>
        </is>
      </c>
      <c r="J24" s="15" t="inlineStr">
        <is>
          <t>Enterprising (E)</t>
        </is>
      </c>
    </row>
    <row r="25" ht="21.75" customHeight="1" s="63">
      <c r="A25" s="9" t="n"/>
      <c r="B25" s="11" t="n"/>
      <c r="C25" s="11" t="inlineStr">
        <is>
          <t>B — Use it to attend a skill workshop or online course</t>
        </is>
      </c>
      <c r="D25" s="13" t="n">
        <v>3</v>
      </c>
      <c r="E25" s="16" t="n">
        <v>4</v>
      </c>
      <c r="F25" s="17" t="n">
        <v>4</v>
      </c>
      <c r="G25" s="13" t="n">
        <v>3</v>
      </c>
      <c r="H25" s="19" t="n">
        <v>4</v>
      </c>
      <c r="I25" s="14" t="inlineStr">
        <is>
          <t>Holland + SDT</t>
        </is>
      </c>
      <c r="J25" s="15" t="inlineStr">
        <is>
          <t>Investigative + Competence</t>
        </is>
      </c>
    </row>
    <row r="26" ht="21.75" customHeight="1" s="63">
      <c r="A26" s="9" t="n"/>
      <c r="B26" s="11" t="n"/>
      <c r="C26" s="11" t="inlineStr">
        <is>
          <t>C — Organise a community event or help someone in need</t>
        </is>
      </c>
      <c r="D26" s="13" t="n">
        <v>2</v>
      </c>
      <c r="E26" s="13" t="n">
        <v>3</v>
      </c>
      <c r="F26" s="13" t="n">
        <v>3</v>
      </c>
      <c r="G26" s="18" t="n">
        <v>5</v>
      </c>
      <c r="H26" s="13" t="n">
        <v>3</v>
      </c>
      <c r="I26" s="14" t="inlineStr">
        <is>
          <t>Holland</t>
        </is>
      </c>
      <c r="J26" s="15" t="inlineStr">
        <is>
          <t>Social (S)</t>
        </is>
      </c>
    </row>
    <row r="27" ht="21.75" customHeight="1" s="63">
      <c r="A27" s="9" t="n"/>
      <c r="B27" s="11" t="n"/>
      <c r="C27" s="11" t="inlineStr">
        <is>
          <t>D — Spend it on art supplies, music gear, or creative tools</t>
        </is>
      </c>
      <c r="D27" s="13" t="n">
        <v>3</v>
      </c>
      <c r="E27" s="13" t="n">
        <v>1</v>
      </c>
      <c r="F27" s="17" t="n">
        <v>4</v>
      </c>
      <c r="G27" s="20" t="n">
        <v>4</v>
      </c>
      <c r="H27" s="13" t="n">
        <v>2</v>
      </c>
      <c r="I27" s="14" t="inlineStr">
        <is>
          <t>Holland</t>
        </is>
      </c>
      <c r="J27" s="15" t="inlineStr">
        <is>
          <t>Artistic (A)</t>
        </is>
      </c>
    </row>
    <row r="28" ht="27.75" customHeight="1" s="63">
      <c r="A28" s="21" t="n">
        <v>6</v>
      </c>
      <c r="B28" s="22" t="inlineStr">
        <is>
          <t>Your professor gives a completely unconventional assignment — no rules, just 'submit something meaningful'. You feel…</t>
        </is>
      </c>
      <c r="C28" s="23" t="inlineStr">
        <is>
          <t>A — Excited. This is when I do my best work</t>
        </is>
      </c>
      <c r="D28" s="12" t="n">
        <v>5</v>
      </c>
      <c r="E28" s="16" t="n">
        <v>4</v>
      </c>
      <c r="F28" s="30" t="n">
        <v>5</v>
      </c>
      <c r="G28" s="18" t="n">
        <v>5</v>
      </c>
      <c r="H28" s="24" t="n">
        <v>3</v>
      </c>
      <c r="I28" s="27" t="inlineStr">
        <is>
          <t>Big Five</t>
        </is>
      </c>
      <c r="J28" s="28" t="inlineStr">
        <is>
          <t>Openness (High)</t>
        </is>
      </c>
    </row>
    <row r="29" ht="21.75" customHeight="1" s="63">
      <c r="A29" s="21" t="n"/>
      <c r="B29" s="23" t="n"/>
      <c r="C29" s="23" t="inlineStr">
        <is>
          <t>B — Curious but a little anxious — you'll work through it</t>
        </is>
      </c>
      <c r="D29" s="29" t="n">
        <v>4</v>
      </c>
      <c r="E29" s="24" t="n">
        <v>3</v>
      </c>
      <c r="F29" s="17" t="n">
        <v>4</v>
      </c>
      <c r="G29" s="20" t="n">
        <v>4</v>
      </c>
      <c r="H29" s="24" t="n">
        <v>3</v>
      </c>
      <c r="I29" s="27" t="inlineStr">
        <is>
          <t>Big Five</t>
        </is>
      </c>
      <c r="J29" s="28" t="inlineStr">
        <is>
          <t>Openness (Mid-High)</t>
        </is>
      </c>
    </row>
    <row r="30" ht="21.75" customHeight="1" s="63">
      <c r="A30" s="21" t="n"/>
      <c r="B30" s="23" t="n"/>
      <c r="C30" s="23" t="inlineStr">
        <is>
          <t>C — Frustrated. You prefer clear guidelines and rubrics</t>
        </is>
      </c>
      <c r="D30" s="24" t="n">
        <v>2</v>
      </c>
      <c r="E30" s="25" t="n">
        <v>5</v>
      </c>
      <c r="F30" s="24" t="n">
        <v>2</v>
      </c>
      <c r="G30" s="24" t="n">
        <v>2</v>
      </c>
      <c r="H30" s="19" t="n">
        <v>4</v>
      </c>
      <c r="I30" s="27" t="inlineStr">
        <is>
          <t>Big Five</t>
        </is>
      </c>
      <c r="J30" s="28" t="inlineStr">
        <is>
          <t>Openness (Low)</t>
        </is>
      </c>
    </row>
    <row r="31" ht="21.75" customHeight="1" s="63">
      <c r="A31" s="21" t="n"/>
      <c r="B31" s="23" t="n"/>
      <c r="C31" s="23" t="inlineStr">
        <is>
          <t>D — Indifferent. You'll just do the minimum needed to pass</t>
        </is>
      </c>
      <c r="D31" s="24" t="n">
        <v>1</v>
      </c>
      <c r="E31" s="24" t="n">
        <v>2</v>
      </c>
      <c r="F31" s="24" t="n">
        <v>1</v>
      </c>
      <c r="G31" s="24" t="n">
        <v>2</v>
      </c>
      <c r="H31" s="24" t="n">
        <v>2</v>
      </c>
      <c r="I31" s="27" t="inlineStr">
        <is>
          <t>Big Five</t>
        </is>
      </c>
      <c r="J31" s="28" t="inlineStr">
        <is>
          <t>Low engagement</t>
        </is>
      </c>
    </row>
    <row r="32" ht="27.75" customHeight="1" s="63">
      <c r="A32" s="9" t="n">
        <v>7</v>
      </c>
      <c r="B32" s="10" t="inlineStr">
        <is>
          <t>When someone asks you 'what do you want to do after graduation?', you typically…</t>
        </is>
      </c>
      <c r="C32" s="11" t="inlineStr">
        <is>
          <t>A — Have a clear, specific answer with a plan already in motion</t>
        </is>
      </c>
      <c r="D32" s="29" t="n">
        <v>4</v>
      </c>
      <c r="E32" s="16" t="n">
        <v>4</v>
      </c>
      <c r="F32" s="30" t="n">
        <v>5</v>
      </c>
      <c r="G32" s="20" t="n">
        <v>4</v>
      </c>
      <c r="H32" s="26" t="n">
        <v>5</v>
      </c>
      <c r="I32" s="14" t="inlineStr">
        <is>
          <t>CDM</t>
        </is>
      </c>
      <c r="J32" s="15" t="inlineStr">
        <is>
          <t>Crystallization stage</t>
        </is>
      </c>
    </row>
    <row r="33" ht="21.75" customHeight="1" s="63">
      <c r="A33" s="9" t="n"/>
      <c r="B33" s="11" t="n"/>
      <c r="C33" s="11" t="inlineStr">
        <is>
          <t>B — Have a few options you're seriously considering but haven't decided</t>
        </is>
      </c>
      <c r="D33" s="29" t="n">
        <v>4</v>
      </c>
      <c r="E33" s="13" t="n">
        <v>3</v>
      </c>
      <c r="F33" s="17" t="n">
        <v>4</v>
      </c>
      <c r="G33" s="20" t="n">
        <v>4</v>
      </c>
      <c r="H33" s="19" t="n">
        <v>4</v>
      </c>
      <c r="I33" s="14" t="inlineStr">
        <is>
          <t>CDM</t>
        </is>
      </c>
      <c r="J33" s="15" t="inlineStr">
        <is>
          <t>Exploration stage</t>
        </is>
      </c>
    </row>
    <row r="34" ht="21.75" customHeight="1" s="63">
      <c r="A34" s="9" t="n"/>
      <c r="B34" s="11" t="n"/>
      <c r="C34" s="11" t="inlineStr">
        <is>
          <t>C — Give a vague answer because you genuinely haven't thought deeply about it</t>
        </is>
      </c>
      <c r="D34" s="13" t="n">
        <v>2</v>
      </c>
      <c r="E34" s="13" t="n">
        <v>2</v>
      </c>
      <c r="F34" s="13" t="n">
        <v>2</v>
      </c>
      <c r="G34" s="13" t="n">
        <v>2</v>
      </c>
      <c r="H34" s="13" t="n">
        <v>2</v>
      </c>
      <c r="I34" s="14" t="inlineStr">
        <is>
          <t>CDM</t>
        </is>
      </c>
      <c r="J34" s="15" t="inlineStr">
        <is>
          <t>Pre-contemplation</t>
        </is>
      </c>
    </row>
    <row r="35" ht="21.75" customHeight="1" s="63">
      <c r="A35" s="9" t="n"/>
      <c r="B35" s="11" t="n"/>
      <c r="C35" s="11" t="inlineStr">
        <is>
          <t>D — Get anxious — you worry you're behind everyone else</t>
        </is>
      </c>
      <c r="D35" s="13" t="n">
        <v>2</v>
      </c>
      <c r="E35" s="13" t="n">
        <v>2</v>
      </c>
      <c r="F35" s="13" t="n">
        <v>2</v>
      </c>
      <c r="G35" s="13" t="n">
        <v>2</v>
      </c>
      <c r="H35" s="13" t="n">
        <v>1</v>
      </c>
      <c r="I35" s="14" t="inlineStr">
        <is>
          <t>CDM</t>
        </is>
      </c>
      <c r="J35" s="15" t="inlineStr">
        <is>
          <t>Decision paralysis</t>
        </is>
      </c>
    </row>
    <row r="36" ht="27.75" customHeight="1" s="63">
      <c r="A36" s="21" t="n">
        <v>8</v>
      </c>
      <c r="B36" s="22" t="inlineStr">
        <is>
          <t>You have to explain a complex topic to your class. You instinctively create…</t>
        </is>
      </c>
      <c r="C36" s="23" t="inlineStr">
        <is>
          <t>A — A visual diagram, infographic, or sketch</t>
        </is>
      </c>
      <c r="D36" s="24" t="n">
        <v>3</v>
      </c>
      <c r="E36" s="24" t="n">
        <v>2</v>
      </c>
      <c r="F36" s="17" t="n">
        <v>4</v>
      </c>
      <c r="G36" s="18" t="n">
        <v>5</v>
      </c>
      <c r="H36" s="24" t="n">
        <v>3</v>
      </c>
      <c r="I36" s="27" t="inlineStr">
        <is>
          <t>MI</t>
        </is>
      </c>
      <c r="J36" s="28" t="inlineStr">
        <is>
          <t>Spatial Intelligence</t>
        </is>
      </c>
    </row>
    <row r="37" ht="21.75" customHeight="1" s="63">
      <c r="A37" s="21" t="n"/>
      <c r="B37" s="23" t="n"/>
      <c r="C37" s="23" t="inlineStr">
        <is>
          <t>B — A well-structured written explanation with examples</t>
        </is>
      </c>
      <c r="D37" s="29" t="n">
        <v>4</v>
      </c>
      <c r="E37" s="24" t="n">
        <v>3</v>
      </c>
      <c r="F37" s="24" t="n">
        <v>3</v>
      </c>
      <c r="G37" s="18" t="n">
        <v>5</v>
      </c>
      <c r="H37" s="24" t="n">
        <v>3</v>
      </c>
      <c r="I37" s="27" t="inlineStr">
        <is>
          <t>MI</t>
        </is>
      </c>
      <c r="J37" s="28" t="inlineStr">
        <is>
          <t>Linguistic Intelligence</t>
        </is>
      </c>
    </row>
    <row r="38" ht="21.75" customHeight="1" s="63">
      <c r="A38" s="21" t="n"/>
      <c r="B38" s="23" t="n"/>
      <c r="C38" s="23" t="inlineStr">
        <is>
          <t>C — A live demonstration or hands-on activity</t>
        </is>
      </c>
      <c r="D38" s="29" t="n">
        <v>4</v>
      </c>
      <c r="E38" s="24" t="n">
        <v>2</v>
      </c>
      <c r="F38" s="17" t="n">
        <v>4</v>
      </c>
      <c r="G38" s="24" t="n">
        <v>3</v>
      </c>
      <c r="H38" s="24" t="n">
        <v>3</v>
      </c>
      <c r="I38" s="27" t="inlineStr">
        <is>
          <t>MI</t>
        </is>
      </c>
      <c r="J38" s="28" t="inlineStr">
        <is>
          <t>Bodily-Kinesthetic</t>
        </is>
      </c>
    </row>
    <row r="39" ht="21.75" customHeight="1" s="63">
      <c r="A39" s="21" t="n"/>
      <c r="B39" s="23" t="n"/>
      <c r="C39" s="23" t="inlineStr">
        <is>
          <t>D — A story or analogy that makes it relatable</t>
        </is>
      </c>
      <c r="D39" s="24" t="n">
        <v>3</v>
      </c>
      <c r="E39" s="24" t="n">
        <v>2</v>
      </c>
      <c r="F39" s="17" t="n">
        <v>4</v>
      </c>
      <c r="G39" s="20" t="n">
        <v>4</v>
      </c>
      <c r="H39" s="24" t="n">
        <v>3</v>
      </c>
      <c r="I39" s="27" t="inlineStr">
        <is>
          <t>MI</t>
        </is>
      </c>
      <c r="J39" s="28" t="inlineStr">
        <is>
          <t>Linguistic + Interpersonal</t>
        </is>
      </c>
    </row>
    <row r="40" ht="21.75" customHeight="1" s="63">
      <c r="A40" s="21" t="n"/>
      <c r="B40" s="23" t="n"/>
      <c r="C40" s="23" t="inlineStr">
        <is>
          <t>E — A spreadsheet or data breakdown</t>
        </is>
      </c>
      <c r="D40" s="24" t="n">
        <v>2</v>
      </c>
      <c r="E40" s="25" t="n">
        <v>5</v>
      </c>
      <c r="F40" s="24" t="n">
        <v>3</v>
      </c>
      <c r="G40" s="24" t="n">
        <v>1</v>
      </c>
      <c r="H40" s="19" t="n">
        <v>4</v>
      </c>
      <c r="I40" s="27" t="inlineStr">
        <is>
          <t>MI</t>
        </is>
      </c>
      <c r="J40" s="28" t="inlineStr">
        <is>
          <t>Logical-Mathematical</t>
        </is>
      </c>
    </row>
    <row r="41" ht="27.75" customHeight="1" s="63">
      <c r="A41" s="9" t="n">
        <v>9</v>
      </c>
      <c r="B41" s="10" t="inlineStr">
        <is>
          <t>Your ideal study or work environment is…</t>
        </is>
      </c>
      <c r="C41" s="11" t="inlineStr">
        <is>
          <t>A — A busy café or co-working space with ambient noise</t>
        </is>
      </c>
      <c r="D41" s="29" t="n">
        <v>4</v>
      </c>
      <c r="E41" s="13" t="n">
        <v>2</v>
      </c>
      <c r="F41" s="13" t="n">
        <v>3</v>
      </c>
      <c r="G41" s="13" t="n">
        <v>3</v>
      </c>
      <c r="H41" s="13" t="n">
        <v>3</v>
      </c>
      <c r="I41" s="14" t="inlineStr">
        <is>
          <t>Big Five</t>
        </is>
      </c>
      <c r="J41" s="15" t="inlineStr">
        <is>
          <t>Extraversion (High)</t>
        </is>
      </c>
    </row>
    <row r="42" ht="21.75" customHeight="1" s="63">
      <c r="A42" s="9" t="n"/>
      <c r="B42" s="11" t="n"/>
      <c r="C42" s="11" t="inlineStr">
        <is>
          <t>B — A quiet room, alone, with no distractions</t>
        </is>
      </c>
      <c r="D42" s="13" t="n">
        <v>2</v>
      </c>
      <c r="E42" s="25" t="n">
        <v>5</v>
      </c>
      <c r="F42" s="13" t="n">
        <v>3</v>
      </c>
      <c r="G42" s="13" t="n">
        <v>2</v>
      </c>
      <c r="H42" s="19" t="n">
        <v>4</v>
      </c>
      <c r="I42" s="14" t="inlineStr">
        <is>
          <t>Big Five</t>
        </is>
      </c>
      <c r="J42" s="15" t="inlineStr">
        <is>
          <t>Extraversion (Low) / Introversion</t>
        </is>
      </c>
    </row>
    <row r="43" ht="21.75" customHeight="1" s="63">
      <c r="A43" s="9" t="n"/>
      <c r="B43" s="11" t="n"/>
      <c r="C43" s="11" t="inlineStr">
        <is>
          <t>C — A small group of 2-3 people you trust</t>
        </is>
      </c>
      <c r="D43" s="13" t="n">
        <v>3</v>
      </c>
      <c r="E43" s="13" t="n">
        <v>3</v>
      </c>
      <c r="F43" s="13" t="n">
        <v>3</v>
      </c>
      <c r="G43" s="20" t="n">
        <v>4</v>
      </c>
      <c r="H43" s="13" t="n">
        <v>3</v>
      </c>
      <c r="I43" s="14" t="inlineStr">
        <is>
          <t>Big Five</t>
        </is>
      </c>
      <c r="J43" s="15" t="inlineStr">
        <is>
          <t>Ambiversion</t>
        </is>
      </c>
    </row>
    <row r="44" ht="21.75" customHeight="1" s="63">
      <c r="A44" s="9" t="n"/>
      <c r="B44" s="11" t="n"/>
      <c r="C44" s="11" t="inlineStr">
        <is>
          <t>D — Wherever the deadline pressure pushes you</t>
        </is>
      </c>
      <c r="D44" s="13" t="n">
        <v>2</v>
      </c>
      <c r="E44" s="13" t="n">
        <v>2</v>
      </c>
      <c r="F44" s="13" t="n">
        <v>2</v>
      </c>
      <c r="G44" s="13" t="n">
        <v>2</v>
      </c>
      <c r="H44" s="13" t="n">
        <v>2</v>
      </c>
      <c r="I44" s="14" t="inlineStr">
        <is>
          <t>Big Five</t>
        </is>
      </c>
      <c r="J44" s="15" t="inlineStr">
        <is>
          <t>Low self-regulation</t>
        </is>
      </c>
    </row>
    <row r="45" ht="27.75" customHeight="1" s="63">
      <c r="A45" s="21" t="n">
        <v>10</v>
      </c>
      <c r="B45" s="22" t="inlineStr">
        <is>
          <t>Which of these statements feels most true for you right now?</t>
        </is>
      </c>
      <c r="C45" s="23" t="inlineStr">
        <is>
          <t>A — I know exactly what I'm good at and I build on those strengths</t>
        </is>
      </c>
      <c r="D45" s="29" t="n">
        <v>4</v>
      </c>
      <c r="E45" s="16" t="n">
        <v>4</v>
      </c>
      <c r="F45" s="30" t="n">
        <v>5</v>
      </c>
      <c r="G45" s="20" t="n">
        <v>4</v>
      </c>
      <c r="H45" s="26" t="n">
        <v>5</v>
      </c>
      <c r="I45" s="27" t="inlineStr">
        <is>
          <t>SDT</t>
        </is>
      </c>
      <c r="J45" s="28" t="inlineStr">
        <is>
          <t>Competence (High)</t>
        </is>
      </c>
    </row>
    <row r="46" ht="21.75" customHeight="1" s="63">
      <c r="A46" s="21" t="n"/>
      <c r="B46" s="23" t="n"/>
      <c r="C46" s="23" t="inlineStr">
        <is>
          <t>B — I'm still figuring out where my strengths really lie</t>
        </is>
      </c>
      <c r="D46" s="24" t="n">
        <v>3</v>
      </c>
      <c r="E46" s="24" t="n">
        <v>3</v>
      </c>
      <c r="F46" s="24" t="n">
        <v>3</v>
      </c>
      <c r="G46" s="24" t="n">
        <v>3</v>
      </c>
      <c r="H46" s="24" t="n">
        <v>3</v>
      </c>
      <c r="I46" s="27" t="inlineStr">
        <is>
          <t>SDT</t>
        </is>
      </c>
      <c r="J46" s="28" t="inlineStr">
        <is>
          <t>Competence (Developing)</t>
        </is>
      </c>
    </row>
    <row r="47" ht="21.75" customHeight="1" s="63">
      <c r="A47" s="21" t="n"/>
      <c r="B47" s="23" t="n"/>
      <c r="C47" s="23" t="inlineStr">
        <is>
          <t>C — I feel like others are more capable than me in most areas</t>
        </is>
      </c>
      <c r="D47" s="24" t="n">
        <v>1</v>
      </c>
      <c r="E47" s="24" t="n">
        <v>2</v>
      </c>
      <c r="F47" s="24" t="n">
        <v>1</v>
      </c>
      <c r="G47" s="24" t="n">
        <v>2</v>
      </c>
      <c r="H47" s="24" t="n">
        <v>1</v>
      </c>
      <c r="I47" s="27" t="inlineStr">
        <is>
          <t>SDT</t>
        </is>
      </c>
      <c r="J47" s="28" t="inlineStr">
        <is>
          <t>Competence (Low)</t>
        </is>
      </c>
    </row>
    <row r="48" ht="21.75" customHeight="1" s="63">
      <c r="A48" s="21" t="n"/>
      <c r="B48" s="23" t="n"/>
      <c r="C48" s="23" t="inlineStr">
        <is>
          <t>D — I'm good at many things but nothing stands out</t>
        </is>
      </c>
      <c r="D48" s="24" t="n">
        <v>3</v>
      </c>
      <c r="E48" s="24" t="n">
        <v>3</v>
      </c>
      <c r="F48" s="24" t="n">
        <v>3</v>
      </c>
      <c r="G48" s="24" t="n">
        <v>3</v>
      </c>
      <c r="H48" s="24" t="n">
        <v>3</v>
      </c>
      <c r="I48" s="27" t="inlineStr">
        <is>
          <t>SDT</t>
        </is>
      </c>
      <c r="J48" s="28" t="inlineStr">
        <is>
          <t>Competence (Diffuse)</t>
        </is>
      </c>
    </row>
    <row r="49" ht="27.75" customHeight="1" s="63">
      <c r="A49" s="9" t="n">
        <v>11</v>
      </c>
      <c r="B49" s="10" t="inlineStr">
        <is>
          <t>You're watching a documentary. You're most drawn to content about…</t>
        </is>
      </c>
      <c r="C49" s="11" t="inlineStr">
        <is>
          <t>A — How diseases spread and how the body fights back</t>
        </is>
      </c>
      <c r="D49" s="13" t="n">
        <v>3</v>
      </c>
      <c r="E49" s="25" t="n">
        <v>5</v>
      </c>
      <c r="F49" s="17" t="n">
        <v>4</v>
      </c>
      <c r="G49" s="13" t="n">
        <v>3</v>
      </c>
      <c r="H49" s="13" t="n">
        <v>3</v>
      </c>
      <c r="I49" s="14" t="inlineStr">
        <is>
          <t>Holland + MI</t>
        </is>
      </c>
      <c r="J49" s="15" t="inlineStr">
        <is>
          <t>Investigative + Naturalistic</t>
        </is>
      </c>
    </row>
    <row r="50" ht="21.75" customHeight="1" s="63">
      <c r="A50" s="9" t="n"/>
      <c r="B50" s="11" t="n"/>
      <c r="C50" s="11" t="inlineStr">
        <is>
          <t>B — How a startup went from zero to billion-dollar company</t>
        </is>
      </c>
      <c r="D50" s="12" t="n">
        <v>5</v>
      </c>
      <c r="E50" s="13" t="n">
        <v>3</v>
      </c>
      <c r="F50" s="17" t="n">
        <v>4</v>
      </c>
      <c r="G50" s="13" t="n">
        <v>3</v>
      </c>
      <c r="H50" s="19" t="n">
        <v>4</v>
      </c>
      <c r="I50" s="14" t="inlineStr">
        <is>
          <t>Holland</t>
        </is>
      </c>
      <c r="J50" s="15" t="inlineStr">
        <is>
          <t>Enterprising (E)</t>
        </is>
      </c>
    </row>
    <row r="51" ht="21.75" customHeight="1" s="63">
      <c r="A51" s="9" t="n"/>
      <c r="B51" s="11" t="n"/>
      <c r="C51" s="11" t="inlineStr">
        <is>
          <t>C — How ancient civilisations built structures we still can't replicate</t>
        </is>
      </c>
      <c r="D51" s="29" t="n">
        <v>4</v>
      </c>
      <c r="E51" s="16" t="n">
        <v>4</v>
      </c>
      <c r="F51" s="17" t="n">
        <v>4</v>
      </c>
      <c r="G51" s="20" t="n">
        <v>4</v>
      </c>
      <c r="H51" s="13" t="n">
        <v>3</v>
      </c>
      <c r="I51" s="14" t="inlineStr">
        <is>
          <t>Holland + MI</t>
        </is>
      </c>
      <c r="J51" s="15" t="inlineStr">
        <is>
          <t>Investigative + Spatial</t>
        </is>
      </c>
    </row>
    <row r="52" ht="21.75" customHeight="1" s="63">
      <c r="A52" s="9" t="n"/>
      <c r="B52" s="11" t="n"/>
      <c r="C52" s="11" t="inlineStr">
        <is>
          <t>D — How a director creates emotional impact through filmmaking</t>
        </is>
      </c>
      <c r="D52" s="29" t="n">
        <v>4</v>
      </c>
      <c r="E52" s="13" t="n">
        <v>2</v>
      </c>
      <c r="F52" s="17" t="n">
        <v>4</v>
      </c>
      <c r="G52" s="18" t="n">
        <v>5</v>
      </c>
      <c r="H52" s="13" t="n">
        <v>2</v>
      </c>
      <c r="I52" s="14" t="inlineStr">
        <is>
          <t>Holland + MI</t>
        </is>
      </c>
      <c r="J52" s="15" t="inlineStr">
        <is>
          <t>Artistic + Spatial/Linguistic</t>
        </is>
      </c>
    </row>
    <row r="53" ht="21.75" customHeight="1" s="63">
      <c r="A53" s="9" t="n"/>
      <c r="B53" s="11" t="n"/>
      <c r="C53" s="11" t="inlineStr">
        <is>
          <t>E — How policy changes affect millions of people across a country</t>
        </is>
      </c>
      <c r="D53" s="13" t="n">
        <v>3</v>
      </c>
      <c r="E53" s="13" t="n">
        <v>3</v>
      </c>
      <c r="F53" s="17" t="n">
        <v>4</v>
      </c>
      <c r="G53" s="20" t="n">
        <v>4</v>
      </c>
      <c r="H53" s="19" t="n">
        <v>4</v>
      </c>
      <c r="I53" s="14" t="inlineStr">
        <is>
          <t>Holland</t>
        </is>
      </c>
      <c r="J53" s="15" t="inlineStr">
        <is>
          <t>Social (S)</t>
        </is>
      </c>
    </row>
    <row r="54" ht="27.75" customHeight="1" s="63">
      <c r="A54" s="21" t="n">
        <v>12</v>
      </c>
      <c r="B54" s="22" t="inlineStr">
        <is>
          <t>A teammate is consistently not pulling their weight on a group project. You…</t>
        </is>
      </c>
      <c r="C54" s="23" t="inlineStr">
        <is>
          <t>A — Confront them directly and clearly explain the impact on the team</t>
        </is>
      </c>
      <c r="D54" s="24" t="n">
        <v>3</v>
      </c>
      <c r="E54" s="16" t="n">
        <v>4</v>
      </c>
      <c r="F54" s="17" t="n">
        <v>4</v>
      </c>
      <c r="G54" s="24" t="n">
        <v>3</v>
      </c>
      <c r="H54" s="19" t="n">
        <v>4</v>
      </c>
      <c r="I54" s="27" t="inlineStr">
        <is>
          <t>Big Five</t>
        </is>
      </c>
      <c r="J54" s="28" t="inlineStr">
        <is>
          <t>Agreeableness (Low-Mid) + Assertive</t>
        </is>
      </c>
    </row>
    <row r="55" ht="21.75" customHeight="1" s="63">
      <c r="A55" s="21" t="n"/>
      <c r="B55" s="23" t="n"/>
      <c r="C55" s="23" t="inlineStr">
        <is>
          <t>B — Take on their work to avoid conflict and keep the project on track</t>
        </is>
      </c>
      <c r="D55" s="24" t="n">
        <v>2</v>
      </c>
      <c r="E55" s="16" t="n">
        <v>4</v>
      </c>
      <c r="F55" s="24" t="n">
        <v>2</v>
      </c>
      <c r="G55" s="24" t="n">
        <v>3</v>
      </c>
      <c r="H55" s="24" t="n">
        <v>3</v>
      </c>
      <c r="I55" s="27" t="inlineStr">
        <is>
          <t>Big Five</t>
        </is>
      </c>
      <c r="J55" s="28" t="inlineStr">
        <is>
          <t>Agreeableness (High) + Avoidant</t>
        </is>
      </c>
    </row>
    <row r="56" ht="21.75" customHeight="1" s="63">
      <c r="A56" s="21" t="n"/>
      <c r="B56" s="23" t="n"/>
      <c r="C56" s="23" t="inlineStr">
        <is>
          <t>C — Talk to them privately, try to understand what's going wrong</t>
        </is>
      </c>
      <c r="D56" s="24" t="n">
        <v>2</v>
      </c>
      <c r="E56" s="16" t="n">
        <v>4</v>
      </c>
      <c r="F56" s="17" t="n">
        <v>4</v>
      </c>
      <c r="G56" s="18" t="n">
        <v>5</v>
      </c>
      <c r="H56" s="19" t="n">
        <v>4</v>
      </c>
      <c r="I56" s="27" t="inlineStr">
        <is>
          <t>Big Five + SDT</t>
        </is>
      </c>
      <c r="J56" s="28" t="inlineStr">
        <is>
          <t>Agreeableness + Relatedness</t>
        </is>
      </c>
    </row>
    <row r="57" ht="21.75" customHeight="1" s="63">
      <c r="A57" s="21" t="n"/>
      <c r="B57" s="23" t="n"/>
      <c r="C57" s="23" t="inlineStr">
        <is>
          <t>D — Report it to the professor or group leader</t>
        </is>
      </c>
      <c r="D57" s="24" t="n">
        <v>3</v>
      </c>
      <c r="E57" s="16" t="n">
        <v>4</v>
      </c>
      <c r="F57" s="24" t="n">
        <v>2</v>
      </c>
      <c r="G57" s="24" t="n">
        <v>2</v>
      </c>
      <c r="H57" s="24" t="n">
        <v>3</v>
      </c>
      <c r="I57" s="27" t="inlineStr">
        <is>
          <t>Big Five</t>
        </is>
      </c>
      <c r="J57" s="28" t="inlineStr">
        <is>
          <t>Rule-following / Conventional</t>
        </is>
      </c>
    </row>
    <row r="58" ht="27.75" customHeight="1" s="63">
      <c r="A58" s="9" t="n">
        <v>13</v>
      </c>
      <c r="B58" s="10" t="inlineStr">
        <is>
          <t>When learning something new, you absorb it best when you…</t>
        </is>
      </c>
      <c r="C58" s="11" t="inlineStr">
        <is>
          <t>A — Actually do it — build it, perform it, make it with your hands</t>
        </is>
      </c>
      <c r="D58" s="12" t="n">
        <v>5</v>
      </c>
      <c r="E58" s="13" t="n">
        <v>2</v>
      </c>
      <c r="F58" s="17" t="n">
        <v>4</v>
      </c>
      <c r="G58" s="13" t="n">
        <v>2</v>
      </c>
      <c r="H58" s="13" t="n">
        <v>3</v>
      </c>
      <c r="I58" s="14" t="inlineStr">
        <is>
          <t>MI</t>
        </is>
      </c>
      <c r="J58" s="15" t="inlineStr">
        <is>
          <t>Bodily-Kinesthetic</t>
        </is>
      </c>
    </row>
    <row r="59" ht="21.75" customHeight="1" s="63">
      <c r="A59" s="9" t="n"/>
      <c r="B59" s="11" t="n"/>
      <c r="C59" s="11" t="inlineStr">
        <is>
          <t>B — Read about it deeply and take detailed notes</t>
        </is>
      </c>
      <c r="D59" s="13" t="n">
        <v>2</v>
      </c>
      <c r="E59" s="25" t="n">
        <v>5</v>
      </c>
      <c r="F59" s="13" t="n">
        <v>3</v>
      </c>
      <c r="G59" s="13" t="n">
        <v>3</v>
      </c>
      <c r="H59" s="19" t="n">
        <v>4</v>
      </c>
      <c r="I59" s="14" t="inlineStr">
        <is>
          <t>MI</t>
        </is>
      </c>
      <c r="J59" s="15" t="inlineStr">
        <is>
          <t>Linguistic + Logical</t>
        </is>
      </c>
    </row>
    <row r="60" ht="21.75" customHeight="1" s="63">
      <c r="A60" s="9" t="n"/>
      <c r="B60" s="11" t="n"/>
      <c r="C60" s="11" t="inlineStr">
        <is>
          <t>C — Watch a video or observe someone doing it first</t>
        </is>
      </c>
      <c r="D60" s="13" t="n">
        <v>3</v>
      </c>
      <c r="E60" s="13" t="n">
        <v>3</v>
      </c>
      <c r="F60" s="13" t="n">
        <v>3</v>
      </c>
      <c r="G60" s="20" t="n">
        <v>4</v>
      </c>
      <c r="H60" s="13" t="n">
        <v>3</v>
      </c>
      <c r="I60" s="14" t="inlineStr">
        <is>
          <t>MI</t>
        </is>
      </c>
      <c r="J60" s="15" t="inlineStr">
        <is>
          <t>Spatial + Visual</t>
        </is>
      </c>
    </row>
    <row r="61" ht="21.75" customHeight="1" s="63">
      <c r="A61" s="9" t="n"/>
      <c r="B61" s="11" t="n"/>
      <c r="C61" s="11" t="inlineStr">
        <is>
          <t>D — Discuss it with someone else to test your understanding</t>
        </is>
      </c>
      <c r="D61" s="13" t="n">
        <v>3</v>
      </c>
      <c r="E61" s="13" t="n">
        <v>3</v>
      </c>
      <c r="F61" s="17" t="n">
        <v>4</v>
      </c>
      <c r="G61" s="18" t="n">
        <v>5</v>
      </c>
      <c r="H61" s="19" t="n">
        <v>4</v>
      </c>
      <c r="I61" s="14" t="inlineStr">
        <is>
          <t>MI</t>
        </is>
      </c>
      <c r="J61" s="15" t="inlineStr">
        <is>
          <t>Interpersonal</t>
        </is>
      </c>
    </row>
    <row r="62" ht="21.75" customHeight="1" s="63">
      <c r="A62" s="9" t="n"/>
      <c r="B62" s="11" t="n"/>
      <c r="C62" s="11" t="inlineStr">
        <is>
          <t>E — Map it out in a diagram or framework before diving in</t>
        </is>
      </c>
      <c r="D62" s="13" t="n">
        <v>2</v>
      </c>
      <c r="E62" s="25" t="n">
        <v>5</v>
      </c>
      <c r="F62" s="13" t="n">
        <v>3</v>
      </c>
      <c r="G62" s="13" t="n">
        <v>3</v>
      </c>
      <c r="H62" s="19" t="n">
        <v>4</v>
      </c>
      <c r="I62" s="14" t="inlineStr">
        <is>
          <t>MI</t>
        </is>
      </c>
      <c r="J62" s="15" t="inlineStr">
        <is>
          <t>Logical-Mathematical + Spatial</t>
        </is>
      </c>
    </row>
    <row r="63" ht="27.75" customHeight="1" s="63">
      <c r="A63" s="21" t="n">
        <v>14</v>
      </c>
      <c r="B63" s="22" t="inlineStr">
        <is>
          <t>A random conversation at a family event gives you an unexpected opportunity in a field you'd never considered. You…</t>
        </is>
      </c>
      <c r="C63" s="23" t="inlineStr">
        <is>
          <t>A — Get excited and follow up on it immediately</t>
        </is>
      </c>
      <c r="D63" s="12" t="n">
        <v>5</v>
      </c>
      <c r="E63" s="24" t="n">
        <v>3</v>
      </c>
      <c r="F63" s="30" t="n">
        <v>5</v>
      </c>
      <c r="G63" s="20" t="n">
        <v>4</v>
      </c>
      <c r="H63" s="26" t="n">
        <v>5</v>
      </c>
      <c r="I63" s="27" t="inlineStr">
        <is>
          <t>CDM</t>
        </is>
      </c>
      <c r="J63" s="28" t="inlineStr">
        <is>
          <t>Happenstance readiness (High)</t>
        </is>
      </c>
    </row>
    <row r="64" ht="21.75" customHeight="1" s="63">
      <c r="A64" s="21" t="n"/>
      <c r="B64" s="23" t="n"/>
      <c r="C64" s="23" t="inlineStr">
        <is>
          <t>B — Think about it seriously before making any move</t>
        </is>
      </c>
      <c r="D64" s="29" t="n">
        <v>4</v>
      </c>
      <c r="E64" s="16" t="n">
        <v>4</v>
      </c>
      <c r="F64" s="17" t="n">
        <v>4</v>
      </c>
      <c r="G64" s="24" t="n">
        <v>3</v>
      </c>
      <c r="H64" s="19" t="n">
        <v>4</v>
      </c>
      <c r="I64" s="27" t="inlineStr">
        <is>
          <t>CDM</t>
        </is>
      </c>
      <c r="J64" s="28" t="inlineStr">
        <is>
          <t>Deliberate exploration</t>
        </is>
      </c>
    </row>
    <row r="65" ht="21.75" customHeight="1" s="63">
      <c r="A65" s="21" t="n"/>
      <c r="B65" s="23" t="n"/>
      <c r="C65" s="23" t="inlineStr">
        <is>
          <t>C — Dismiss it — it doesn't fit your current plan</t>
        </is>
      </c>
      <c r="D65" s="24" t="n">
        <v>2</v>
      </c>
      <c r="E65" s="16" t="n">
        <v>4</v>
      </c>
      <c r="F65" s="24" t="n">
        <v>2</v>
      </c>
      <c r="G65" s="24" t="n">
        <v>2</v>
      </c>
      <c r="H65" s="24" t="n">
        <v>3</v>
      </c>
      <c r="I65" s="27" t="inlineStr">
        <is>
          <t>CDM</t>
        </is>
      </c>
      <c r="J65" s="28" t="inlineStr">
        <is>
          <t>Closed to happenstance</t>
        </is>
      </c>
    </row>
    <row r="66" ht="21.75" customHeight="1" s="63">
      <c r="A66" s="21" t="n"/>
      <c r="B66" s="23" t="n"/>
      <c r="C66" s="23" t="inlineStr">
        <is>
          <t>D — Mention it to family to see if they approve first</t>
        </is>
      </c>
      <c r="D66" s="24" t="n">
        <v>2</v>
      </c>
      <c r="E66" s="24" t="n">
        <v>2</v>
      </c>
      <c r="F66" s="24" t="n">
        <v>2</v>
      </c>
      <c r="G66" s="24" t="n">
        <v>2</v>
      </c>
      <c r="H66" s="24" t="n">
        <v>2</v>
      </c>
      <c r="I66" s="27" t="inlineStr">
        <is>
          <t>CDM + SDT</t>
        </is>
      </c>
      <c r="J66" s="28" t="inlineStr">
        <is>
          <t>External locus + low autonomy</t>
        </is>
      </c>
    </row>
    <row r="67" ht="27.75" customHeight="1" s="63">
      <c r="A67" s="9" t="n">
        <v>15</v>
      </c>
      <c r="B67" s="10" t="inlineStr">
        <is>
          <t>You're at your most energised and 'in flow' when you are…</t>
        </is>
      </c>
      <c r="C67" s="11" t="inlineStr">
        <is>
          <t>A — Teaching, mentoring, or explaining something to someone</t>
        </is>
      </c>
      <c r="D67" s="13" t="n">
        <v>2</v>
      </c>
      <c r="E67" s="13" t="n">
        <v>3</v>
      </c>
      <c r="F67" s="17" t="n">
        <v>4</v>
      </c>
      <c r="G67" s="18" t="n">
        <v>5</v>
      </c>
      <c r="H67" s="19" t="n">
        <v>4</v>
      </c>
      <c r="I67" s="14" t="inlineStr">
        <is>
          <t>Holland + MI</t>
        </is>
      </c>
      <c r="J67" s="15" t="inlineStr">
        <is>
          <t>Social + Interpersonal</t>
        </is>
      </c>
    </row>
    <row r="68" ht="21.75" customHeight="1" s="63">
      <c r="A68" s="9" t="n"/>
      <c r="B68" s="11" t="n"/>
      <c r="C68" s="11" t="inlineStr">
        <is>
          <t>B — Solving a puzzle, debugging a problem, or figuring out how something works</t>
        </is>
      </c>
      <c r="D68" s="13" t="n">
        <v>3</v>
      </c>
      <c r="E68" s="25" t="n">
        <v>5</v>
      </c>
      <c r="F68" s="17" t="n">
        <v>4</v>
      </c>
      <c r="G68" s="13" t="n">
        <v>2</v>
      </c>
      <c r="H68" s="19" t="n">
        <v>4</v>
      </c>
      <c r="I68" s="14" t="inlineStr">
        <is>
          <t>Holland + MI</t>
        </is>
      </c>
      <c r="J68" s="15" t="inlineStr">
        <is>
          <t>Investigative + Logical</t>
        </is>
      </c>
    </row>
    <row r="69" ht="21.75" customHeight="1" s="63">
      <c r="A69" s="9" t="n"/>
      <c r="B69" s="11" t="n"/>
      <c r="C69" s="11" t="inlineStr">
        <is>
          <t>C — Creating something — writing, designing, composing</t>
        </is>
      </c>
      <c r="D69" s="29" t="n">
        <v>4</v>
      </c>
      <c r="E69" s="13" t="n">
        <v>2</v>
      </c>
      <c r="F69" s="30" t="n">
        <v>5</v>
      </c>
      <c r="G69" s="18" t="n">
        <v>5</v>
      </c>
      <c r="H69" s="13" t="n">
        <v>3</v>
      </c>
      <c r="I69" s="14" t="inlineStr">
        <is>
          <t>Holland + MI</t>
        </is>
      </c>
      <c r="J69" s="15" t="inlineStr">
        <is>
          <t>Artistic + Spatial/Linguistic</t>
        </is>
      </c>
    </row>
    <row r="70" ht="21.75" customHeight="1" s="63">
      <c r="A70" s="9" t="n"/>
      <c r="B70" s="11" t="n"/>
      <c r="C70" s="11" t="inlineStr">
        <is>
          <t>D — Persuading people or negotiating a deal</t>
        </is>
      </c>
      <c r="D70" s="12" t="n">
        <v>5</v>
      </c>
      <c r="E70" s="13" t="n">
        <v>3</v>
      </c>
      <c r="F70" s="17" t="n">
        <v>4</v>
      </c>
      <c r="G70" s="13" t="n">
        <v>3</v>
      </c>
      <c r="H70" s="19" t="n">
        <v>4</v>
      </c>
      <c r="I70" s="14" t="inlineStr">
        <is>
          <t>Holland</t>
        </is>
      </c>
      <c r="J70" s="15" t="inlineStr">
        <is>
          <t>Enterprising (E)</t>
        </is>
      </c>
    </row>
    <row r="71" ht="21.75" customHeight="1" s="63">
      <c r="A71" s="9" t="n"/>
      <c r="B71" s="11" t="n"/>
      <c r="C71" s="11" t="inlineStr">
        <is>
          <t>E — Executing a process efficiently and getting things done correctly</t>
        </is>
      </c>
      <c r="D71" s="13" t="n">
        <v>3</v>
      </c>
      <c r="E71" s="25" t="n">
        <v>5</v>
      </c>
      <c r="F71" s="13" t="n">
        <v>3</v>
      </c>
      <c r="G71" s="13" t="n">
        <v>2</v>
      </c>
      <c r="H71" s="19" t="n">
        <v>4</v>
      </c>
      <c r="I71" s="14" t="inlineStr">
        <is>
          <t>Holland</t>
        </is>
      </c>
      <c r="J71" s="15" t="inlineStr">
        <is>
          <t>Conventional (C)</t>
        </is>
      </c>
    </row>
    <row r="72" ht="27.75" customHeight="1" s="63">
      <c r="A72" s="21" t="n">
        <v>16</v>
      </c>
      <c r="B72" s="22" t="inlineStr">
        <is>
          <t>Before a high-stakes presentation or performance, you typically feel…</t>
        </is>
      </c>
      <c r="C72" s="23" t="inlineStr">
        <is>
          <t>A — Calm and prepared — pressure is just part of the process</t>
        </is>
      </c>
      <c r="D72" s="29" t="n">
        <v>4</v>
      </c>
      <c r="E72" s="25" t="n">
        <v>5</v>
      </c>
      <c r="F72" s="17" t="n">
        <v>4</v>
      </c>
      <c r="G72" s="20" t="n">
        <v>4</v>
      </c>
      <c r="H72" s="26" t="n">
        <v>5</v>
      </c>
      <c r="I72" s="27" t="inlineStr">
        <is>
          <t>Big Five</t>
        </is>
      </c>
      <c r="J72" s="28" t="inlineStr">
        <is>
          <t>Low Neuroticism / High Stability</t>
        </is>
      </c>
    </row>
    <row r="73" ht="21.75" customHeight="1" s="63">
      <c r="A73" s="21" t="n"/>
      <c r="B73" s="23" t="n"/>
      <c r="C73" s="23" t="inlineStr">
        <is>
          <t>B — Nervous but it pushes you to perform better</t>
        </is>
      </c>
      <c r="D73" s="29" t="n">
        <v>4</v>
      </c>
      <c r="E73" s="24" t="n">
        <v>3</v>
      </c>
      <c r="F73" s="17" t="n">
        <v>4</v>
      </c>
      <c r="G73" s="24" t="n">
        <v>3</v>
      </c>
      <c r="H73" s="19" t="n">
        <v>4</v>
      </c>
      <c r="I73" s="27" t="inlineStr">
        <is>
          <t>Big Five</t>
        </is>
      </c>
      <c r="J73" s="28" t="inlineStr">
        <is>
          <t>Mid Neuroticism (adaptive)</t>
        </is>
      </c>
    </row>
    <row r="74" ht="21.75" customHeight="1" s="63">
      <c r="A74" s="21" t="n"/>
      <c r="B74" s="23" t="n"/>
      <c r="C74" s="23" t="inlineStr">
        <is>
          <t>C — Extremely anxious — it significantly affects your performance</t>
        </is>
      </c>
      <c r="D74" s="24" t="n">
        <v>2</v>
      </c>
      <c r="E74" s="24" t="n">
        <v>2</v>
      </c>
      <c r="F74" s="24" t="n">
        <v>2</v>
      </c>
      <c r="G74" s="24" t="n">
        <v>2</v>
      </c>
      <c r="H74" s="24" t="n">
        <v>2</v>
      </c>
      <c r="I74" s="27" t="inlineStr">
        <is>
          <t>Big Five</t>
        </is>
      </c>
      <c r="J74" s="28" t="inlineStr">
        <is>
          <t>High Neuroticism</t>
        </is>
      </c>
    </row>
    <row r="75" ht="21.75" customHeight="1" s="63">
      <c r="A75" s="21" t="n"/>
      <c r="B75" s="23" t="n"/>
      <c r="C75" s="23" t="inlineStr">
        <is>
          <t>D — Indifferent — you don't overthink these things</t>
        </is>
      </c>
      <c r="D75" s="24" t="n">
        <v>3</v>
      </c>
      <c r="E75" s="24" t="n">
        <v>3</v>
      </c>
      <c r="F75" s="24" t="n">
        <v>3</v>
      </c>
      <c r="G75" s="24" t="n">
        <v>3</v>
      </c>
      <c r="H75" s="24" t="n">
        <v>3</v>
      </c>
      <c r="I75" s="27" t="inlineStr">
        <is>
          <t>Big Five</t>
        </is>
      </c>
      <c r="J75" s="28" t="inlineStr">
        <is>
          <t>Low investment</t>
        </is>
      </c>
    </row>
    <row r="76" ht="27.75" customHeight="1" s="63">
      <c r="A76" s="9" t="n">
        <v>17</v>
      </c>
      <c r="B76" s="10" t="inlineStr">
        <is>
          <t>Which of these describes why you want to be successful in your chosen career?</t>
        </is>
      </c>
      <c r="C76" s="11" t="inlineStr">
        <is>
          <t>A — I want to become genuinely good at something that matters to me</t>
        </is>
      </c>
      <c r="D76" s="29" t="n">
        <v>4</v>
      </c>
      <c r="E76" s="16" t="n">
        <v>4</v>
      </c>
      <c r="F76" s="30" t="n">
        <v>5</v>
      </c>
      <c r="G76" s="20" t="n">
        <v>4</v>
      </c>
      <c r="H76" s="26" t="n">
        <v>5</v>
      </c>
      <c r="I76" s="14" t="inlineStr">
        <is>
          <t>SDT</t>
        </is>
      </c>
      <c r="J76" s="15" t="inlineStr">
        <is>
          <t>Intrinsic — Mastery</t>
        </is>
      </c>
    </row>
    <row r="77" ht="21.75" customHeight="1" s="63">
      <c r="A77" s="9" t="n"/>
      <c r="B77" s="11" t="n"/>
      <c r="C77" s="11" t="inlineStr">
        <is>
          <t>B — I want financial security and a stable, respected life</t>
        </is>
      </c>
      <c r="D77" s="13" t="n">
        <v>2</v>
      </c>
      <c r="E77" s="13" t="n">
        <v>3</v>
      </c>
      <c r="F77" s="13" t="n">
        <v>2</v>
      </c>
      <c r="G77" s="13" t="n">
        <v>2</v>
      </c>
      <c r="H77" s="13" t="n">
        <v>3</v>
      </c>
      <c r="I77" s="14" t="inlineStr">
        <is>
          <t>SDT</t>
        </is>
      </c>
      <c r="J77" s="15" t="inlineStr">
        <is>
          <t>Extrinsic — Status/Security</t>
        </is>
      </c>
    </row>
    <row r="78" ht="21.75" customHeight="1" s="63">
      <c r="A78" s="9" t="n"/>
      <c r="B78" s="11" t="n"/>
      <c r="C78" s="11" t="inlineStr">
        <is>
          <t>C — I want my family to be proud of what I've achieved</t>
        </is>
      </c>
      <c r="D78" s="13" t="n">
        <v>2</v>
      </c>
      <c r="E78" s="13" t="n">
        <v>3</v>
      </c>
      <c r="F78" s="13" t="n">
        <v>2</v>
      </c>
      <c r="G78" s="13" t="n">
        <v>3</v>
      </c>
      <c r="H78" s="13" t="n">
        <v>3</v>
      </c>
      <c r="I78" s="14" t="inlineStr">
        <is>
          <t>SDT</t>
        </is>
      </c>
      <c r="J78" s="15" t="inlineStr">
        <is>
          <t>Extrinsic — Social approval</t>
        </is>
      </c>
    </row>
    <row r="79" ht="21.75" customHeight="1" s="63">
      <c r="A79" s="9" t="n"/>
      <c r="B79" s="11" t="n"/>
      <c r="C79" s="11" t="inlineStr">
        <is>
          <t>D — I want to solve a real problem or contribute to something bigger</t>
        </is>
      </c>
      <c r="D79" s="29" t="n">
        <v>4</v>
      </c>
      <c r="E79" s="13" t="n">
        <v>3</v>
      </c>
      <c r="F79" s="30" t="n">
        <v>5</v>
      </c>
      <c r="G79" s="20" t="n">
        <v>4</v>
      </c>
      <c r="H79" s="19" t="n">
        <v>4</v>
      </c>
      <c r="I79" s="14" t="inlineStr">
        <is>
          <t>SDT</t>
        </is>
      </c>
      <c r="J79" s="15" t="inlineStr">
        <is>
          <t>Intrinsic — Purpose</t>
        </is>
      </c>
    </row>
    <row r="80" ht="27.75" customHeight="1" s="63">
      <c r="A80" s="21" t="n">
        <v>18</v>
      </c>
      <c r="B80" s="22" t="inlineStr">
        <is>
          <t>Which of these tasks would you actually enjoy doing as part of your regular work?</t>
        </is>
      </c>
      <c r="C80" s="23" t="inlineStr">
        <is>
          <t>A — Analysing large datasets to find patterns or insights</t>
        </is>
      </c>
      <c r="D80" s="24" t="n">
        <v>2</v>
      </c>
      <c r="E80" s="25" t="n">
        <v>5</v>
      </c>
      <c r="F80" s="24" t="n">
        <v>3</v>
      </c>
      <c r="G80" s="24" t="n">
        <v>1</v>
      </c>
      <c r="H80" s="19" t="n">
        <v>4</v>
      </c>
      <c r="I80" s="27" t="inlineStr">
        <is>
          <t>Holland + MI</t>
        </is>
      </c>
      <c r="J80" s="28" t="inlineStr">
        <is>
          <t>Investigative + Logical-Math</t>
        </is>
      </c>
    </row>
    <row r="81" ht="21.75" customHeight="1" s="63">
      <c r="A81" s="21" t="n"/>
      <c r="B81" s="23" t="n"/>
      <c r="C81" s="23" t="inlineStr">
        <is>
          <t>B — Managing and coordinating a team's workflow and timelines</t>
        </is>
      </c>
      <c r="D81" s="24" t="n">
        <v>3</v>
      </c>
      <c r="E81" s="16" t="n">
        <v>4</v>
      </c>
      <c r="F81" s="24" t="n">
        <v>3</v>
      </c>
      <c r="G81" s="20" t="n">
        <v>4</v>
      </c>
      <c r="H81" s="19" t="n">
        <v>4</v>
      </c>
      <c r="I81" s="27" t="inlineStr">
        <is>
          <t>Holland</t>
        </is>
      </c>
      <c r="J81" s="28" t="inlineStr">
        <is>
          <t>Enterprising + Conventional</t>
        </is>
      </c>
    </row>
    <row r="82" ht="21.75" customHeight="1" s="63">
      <c r="A82" s="21" t="n"/>
      <c r="B82" s="23" t="n"/>
      <c r="C82" s="23" t="inlineStr">
        <is>
          <t>C — Designing visuals, user interfaces, or creative content</t>
        </is>
      </c>
      <c r="D82" s="29" t="n">
        <v>4</v>
      </c>
      <c r="E82" s="24" t="n">
        <v>2</v>
      </c>
      <c r="F82" s="17" t="n">
        <v>4</v>
      </c>
      <c r="G82" s="18" t="n">
        <v>5</v>
      </c>
      <c r="H82" s="24" t="n">
        <v>3</v>
      </c>
      <c r="I82" s="27" t="inlineStr">
        <is>
          <t>Holland + MI</t>
        </is>
      </c>
      <c r="J82" s="28" t="inlineStr">
        <is>
          <t>Artistic + Spatial</t>
        </is>
      </c>
    </row>
    <row r="83" ht="21.75" customHeight="1" s="63">
      <c r="A83" s="21" t="n"/>
      <c r="B83" s="23" t="n"/>
      <c r="C83" s="23" t="inlineStr">
        <is>
          <t>D — Conducting lab work, experiments, or technical analysis</t>
        </is>
      </c>
      <c r="D83" s="29" t="n">
        <v>4</v>
      </c>
      <c r="E83" s="16" t="n">
        <v>4</v>
      </c>
      <c r="F83" s="24" t="n">
        <v>3</v>
      </c>
      <c r="G83" s="24" t="n">
        <v>2</v>
      </c>
      <c r="H83" s="24" t="n">
        <v>3</v>
      </c>
      <c r="I83" s="27" t="inlineStr">
        <is>
          <t>Holland</t>
        </is>
      </c>
      <c r="J83" s="28" t="inlineStr">
        <is>
          <t>Realistic + Investigative</t>
        </is>
      </c>
    </row>
    <row r="84" ht="21.75" customHeight="1" s="63">
      <c r="A84" s="21" t="n"/>
      <c r="B84" s="23" t="n"/>
      <c r="C84" s="23" t="inlineStr">
        <is>
          <t>E — Writing reports, policies, documentation, or proposals</t>
        </is>
      </c>
      <c r="D84" s="24" t="n">
        <v>3</v>
      </c>
      <c r="E84" s="16" t="n">
        <v>4</v>
      </c>
      <c r="F84" s="24" t="n">
        <v>3</v>
      </c>
      <c r="G84" s="20" t="n">
        <v>4</v>
      </c>
      <c r="H84" s="19" t="n">
        <v>4</v>
      </c>
      <c r="I84" s="27" t="inlineStr">
        <is>
          <t>Holland + MI</t>
        </is>
      </c>
      <c r="J84" s="28" t="inlineStr">
        <is>
          <t>Conventional + Linguistic</t>
        </is>
      </c>
    </row>
    <row r="85" ht="27.75" customHeight="1" s="63">
      <c r="A85" s="9" t="n">
        <v>19</v>
      </c>
      <c r="B85" s="10" t="inlineStr">
        <is>
          <t>When researching a major life decision (college, career, city to move to), you…</t>
        </is>
      </c>
      <c r="C85" s="11" t="inlineStr">
        <is>
          <t>A — Go deep — read everything, talk to people in that field, build a spreadsheet</t>
        </is>
      </c>
      <c r="D85" s="13" t="n">
        <v>3</v>
      </c>
      <c r="E85" s="25" t="n">
        <v>5</v>
      </c>
      <c r="F85" s="17" t="n">
        <v>4</v>
      </c>
      <c r="G85" s="13" t="n">
        <v>3</v>
      </c>
      <c r="H85" s="26" t="n">
        <v>5</v>
      </c>
      <c r="I85" s="14" t="inlineStr">
        <is>
          <t>CDM</t>
        </is>
      </c>
      <c r="J85" s="15" t="inlineStr">
        <is>
          <t>Systematic decision-making</t>
        </is>
      </c>
    </row>
    <row r="86" ht="21.75" customHeight="1" s="63">
      <c r="A86" s="9" t="n"/>
      <c r="B86" s="11" t="n"/>
      <c r="C86" s="11" t="inlineStr">
        <is>
          <t>B — Do a quick search, trust your gut, and move on</t>
        </is>
      </c>
      <c r="D86" s="29" t="n">
        <v>4</v>
      </c>
      <c r="E86" s="13" t="n">
        <v>2</v>
      </c>
      <c r="F86" s="17" t="n">
        <v>4</v>
      </c>
      <c r="G86" s="13" t="n">
        <v>3</v>
      </c>
      <c r="H86" s="13" t="n">
        <v>3</v>
      </c>
      <c r="I86" s="14" t="inlineStr">
        <is>
          <t>CDM</t>
        </is>
      </c>
      <c r="J86" s="15" t="inlineStr">
        <is>
          <t>Intuitive decision-making</t>
        </is>
      </c>
    </row>
    <row r="87" ht="21.75" customHeight="1" s="63">
      <c r="A87" s="9" t="n"/>
      <c r="B87" s="11" t="n"/>
      <c r="C87" s="11" t="inlineStr">
        <is>
          <t>C — Ask people you trust and mostly go with their advice</t>
        </is>
      </c>
      <c r="D87" s="13" t="n">
        <v>2</v>
      </c>
      <c r="E87" s="13" t="n">
        <v>3</v>
      </c>
      <c r="F87" s="13" t="n">
        <v>2</v>
      </c>
      <c r="G87" s="13" t="n">
        <v>3</v>
      </c>
      <c r="H87" s="13" t="n">
        <v>2</v>
      </c>
      <c r="I87" s="14" t="inlineStr">
        <is>
          <t>CDM</t>
        </is>
      </c>
      <c r="J87" s="15" t="inlineStr">
        <is>
          <t>Dependent decision-making</t>
        </is>
      </c>
    </row>
    <row r="88" ht="21.75" customHeight="1" s="63">
      <c r="A88" s="9" t="n"/>
      <c r="B88" s="11" t="n"/>
      <c r="C88" s="11" t="inlineStr">
        <is>
          <t>D — Delay until the deadline forces a decision</t>
        </is>
      </c>
      <c r="D88" s="13" t="n">
        <v>2</v>
      </c>
      <c r="E88" s="13" t="n">
        <v>2</v>
      </c>
      <c r="F88" s="13" t="n">
        <v>2</v>
      </c>
      <c r="G88" s="13" t="n">
        <v>2</v>
      </c>
      <c r="H88" s="13" t="n">
        <v>1</v>
      </c>
      <c r="I88" s="14" t="inlineStr">
        <is>
          <t>CDM</t>
        </is>
      </c>
      <c r="J88" s="15" t="inlineStr">
        <is>
          <t>Avoidant decision-making</t>
        </is>
      </c>
    </row>
    <row r="89" ht="27.75" customHeight="1" s="63">
      <c r="A89" s="21" t="n">
        <v>20</v>
      </c>
      <c r="B89" s="22" t="inlineStr">
        <is>
          <t>Which of these elective subjects would you have genuinely loved in school?</t>
        </is>
      </c>
      <c r="C89" s="23" t="inlineStr">
        <is>
          <t>A — Music theory and composition</t>
        </is>
      </c>
      <c r="D89" s="24" t="n">
        <v>3</v>
      </c>
      <c r="E89" s="24" t="n">
        <v>2</v>
      </c>
      <c r="F89" s="17" t="n">
        <v>4</v>
      </c>
      <c r="G89" s="18" t="n">
        <v>5</v>
      </c>
      <c r="H89" s="24" t="n">
        <v>2</v>
      </c>
      <c r="I89" s="27" t="inlineStr">
        <is>
          <t>MI</t>
        </is>
      </c>
      <c r="J89" s="28" t="inlineStr">
        <is>
          <t>Musical Intelligence</t>
        </is>
      </c>
    </row>
    <row r="90" ht="21.75" customHeight="1" s="63">
      <c r="A90" s="21" t="n"/>
      <c r="B90" s="23" t="n"/>
      <c r="C90" s="23" t="inlineStr">
        <is>
          <t>B — Environmental science and ecology</t>
        </is>
      </c>
      <c r="D90" s="24" t="n">
        <v>3</v>
      </c>
      <c r="E90" s="16" t="n">
        <v>4</v>
      </c>
      <c r="F90" s="17" t="n">
        <v>4</v>
      </c>
      <c r="G90" s="20" t="n">
        <v>4</v>
      </c>
      <c r="H90" s="24" t="n">
        <v>3</v>
      </c>
      <c r="I90" s="27" t="inlineStr">
        <is>
          <t>MI</t>
        </is>
      </c>
      <c r="J90" s="28" t="inlineStr">
        <is>
          <t>Naturalistic Intelligence</t>
        </is>
      </c>
    </row>
    <row r="91" ht="21.75" customHeight="1" s="63">
      <c r="A91" s="21" t="n"/>
      <c r="B91" s="23" t="n"/>
      <c r="C91" s="23" t="inlineStr">
        <is>
          <t>C — Physical education, sports science, or dance</t>
        </is>
      </c>
      <c r="D91" s="12" t="n">
        <v>5</v>
      </c>
      <c r="E91" s="24" t="n">
        <v>2</v>
      </c>
      <c r="F91" s="17" t="n">
        <v>4</v>
      </c>
      <c r="G91" s="24" t="n">
        <v>3</v>
      </c>
      <c r="H91" s="24" t="n">
        <v>2</v>
      </c>
      <c r="I91" s="27" t="inlineStr">
        <is>
          <t>MI</t>
        </is>
      </c>
      <c r="J91" s="28" t="inlineStr">
        <is>
          <t>Bodily-Kinesthetic</t>
        </is>
      </c>
    </row>
    <row r="92" ht="21.75" customHeight="1" s="63">
      <c r="A92" s="21" t="n"/>
      <c r="B92" s="23" t="n"/>
      <c r="C92" s="23" t="inlineStr">
        <is>
          <t>D — Computer science and programming</t>
        </is>
      </c>
      <c r="D92" s="24" t="n">
        <v>2</v>
      </c>
      <c r="E92" s="25" t="n">
        <v>5</v>
      </c>
      <c r="F92" s="24" t="n">
        <v>3</v>
      </c>
      <c r="G92" s="24" t="n">
        <v>2</v>
      </c>
      <c r="H92" s="19" t="n">
        <v>4</v>
      </c>
      <c r="I92" s="27" t="inlineStr">
        <is>
          <t>MI + Holland</t>
        </is>
      </c>
      <c r="J92" s="28" t="inlineStr">
        <is>
          <t>Logical-Math + Investigative</t>
        </is>
      </c>
    </row>
    <row r="93" ht="21.75" customHeight="1" s="63">
      <c r="A93" s="21" t="n"/>
      <c r="B93" s="23" t="n"/>
      <c r="C93" s="23" t="inlineStr">
        <is>
          <t>E — Psychology and human behaviour</t>
        </is>
      </c>
      <c r="D93" s="24" t="n">
        <v>3</v>
      </c>
      <c r="E93" s="24" t="n">
        <v>3</v>
      </c>
      <c r="F93" s="17" t="n">
        <v>4</v>
      </c>
      <c r="G93" s="18" t="n">
        <v>5</v>
      </c>
      <c r="H93" s="19" t="n">
        <v>4</v>
      </c>
      <c r="I93" s="27" t="inlineStr">
        <is>
          <t>MI + Holland</t>
        </is>
      </c>
      <c r="J93" s="28" t="inlineStr">
        <is>
          <t>Interpersonal + Social</t>
        </is>
      </c>
    </row>
    <row r="94" ht="27.75" customHeight="1" s="63">
      <c r="A94" s="9" t="n">
        <v>21</v>
      </c>
      <c r="B94" s="10" t="inlineStr">
        <is>
          <t>You have a business idea you genuinely believe in. The only way to test it is to spend ₹20,000 of your savings. You…</t>
        </is>
      </c>
      <c r="C94" s="11" t="inlineStr">
        <is>
          <t>A — Do it immediately — the only way to know is to try</t>
        </is>
      </c>
      <c r="D94" s="12" t="n">
        <v>5</v>
      </c>
      <c r="E94" s="13" t="n">
        <v>2</v>
      </c>
      <c r="F94" s="30" t="n">
        <v>5</v>
      </c>
      <c r="G94" s="13" t="n">
        <v>3</v>
      </c>
      <c r="H94" s="19" t="n">
        <v>4</v>
      </c>
      <c r="I94" s="14" t="inlineStr">
        <is>
          <t>Holland + Big Five</t>
        </is>
      </c>
      <c r="J94" s="15" t="inlineStr">
        <is>
          <t>Enterprising + Openness</t>
        </is>
      </c>
    </row>
    <row r="95" ht="21.75" customHeight="1" s="63">
      <c r="A95" s="9" t="n"/>
      <c r="B95" s="11" t="n"/>
      <c r="C95" s="11" t="inlineStr">
        <is>
          <t>B — Build a scaled-down version to test first with minimal investment</t>
        </is>
      </c>
      <c r="D95" s="29" t="n">
        <v>4</v>
      </c>
      <c r="E95" s="16" t="n">
        <v>4</v>
      </c>
      <c r="F95" s="30" t="n">
        <v>5</v>
      </c>
      <c r="G95" s="13" t="n">
        <v>3</v>
      </c>
      <c r="H95" s="26" t="n">
        <v>5</v>
      </c>
      <c r="I95" s="14" t="inlineStr">
        <is>
          <t>Holland + CDM</t>
        </is>
      </c>
      <c r="J95" s="15" t="inlineStr">
        <is>
          <t>Enterprising + Systematic</t>
        </is>
      </c>
    </row>
    <row r="96" ht="21.75" customHeight="1" s="63">
      <c r="A96" s="9" t="n"/>
      <c r="B96" s="11" t="n"/>
      <c r="C96" s="11" t="inlineStr">
        <is>
          <t>C — Wait until you have more certainty before spending money</t>
        </is>
      </c>
      <c r="D96" s="13" t="n">
        <v>2</v>
      </c>
      <c r="E96" s="16" t="n">
        <v>4</v>
      </c>
      <c r="F96" s="13" t="n">
        <v>2</v>
      </c>
      <c r="G96" s="13" t="n">
        <v>2</v>
      </c>
      <c r="H96" s="13" t="n">
        <v>3</v>
      </c>
      <c r="I96" s="14" t="inlineStr">
        <is>
          <t>Big Five</t>
        </is>
      </c>
      <c r="J96" s="15" t="inlineStr">
        <is>
          <t>High Conscientiousness / Risk-averse</t>
        </is>
      </c>
    </row>
    <row r="97" ht="21.75" customHeight="1" s="63">
      <c r="A97" s="9" t="n"/>
      <c r="B97" s="11" t="n"/>
      <c r="C97" s="11" t="inlineStr">
        <is>
          <t>D — Look for a co-founder to share the financial risk</t>
        </is>
      </c>
      <c r="D97" s="13" t="n">
        <v>3</v>
      </c>
      <c r="E97" s="13" t="n">
        <v>3</v>
      </c>
      <c r="F97" s="17" t="n">
        <v>4</v>
      </c>
      <c r="G97" s="20" t="n">
        <v>4</v>
      </c>
      <c r="H97" s="19" t="n">
        <v>4</v>
      </c>
      <c r="I97" s="14" t="inlineStr">
        <is>
          <t>SDT + Holland</t>
        </is>
      </c>
      <c r="J97" s="15" t="inlineStr">
        <is>
          <t>Relatedness + Enterprising</t>
        </is>
      </c>
    </row>
    <row r="98" ht="27.75" customHeight="1" s="63">
      <c r="A98" s="21" t="n">
        <v>22</v>
      </c>
      <c r="B98" s="22" t="inlineStr">
        <is>
          <t>Your parents strongly prefer you pursue a specific career. You want something different. You…</t>
        </is>
      </c>
      <c r="C98" s="23" t="inlineStr">
        <is>
          <t>A — Follow your own path and explain your reasoning to them over time</t>
        </is>
      </c>
      <c r="D98" s="29" t="n">
        <v>4</v>
      </c>
      <c r="E98" s="24" t="n">
        <v>3</v>
      </c>
      <c r="F98" s="30" t="n">
        <v>5</v>
      </c>
      <c r="G98" s="20" t="n">
        <v>4</v>
      </c>
      <c r="H98" s="26" t="n">
        <v>5</v>
      </c>
      <c r="I98" s="27" t="inlineStr">
        <is>
          <t>SDT</t>
        </is>
      </c>
      <c r="J98" s="28" t="inlineStr">
        <is>
          <t>Autonomy (High)</t>
        </is>
      </c>
    </row>
    <row r="99" ht="21.75" customHeight="1" s="63">
      <c r="A99" s="21" t="n"/>
      <c r="B99" s="23" t="n"/>
      <c r="C99" s="23" t="inlineStr">
        <is>
          <t>B — Try to find a middle ground that satisfies both sides</t>
        </is>
      </c>
      <c r="D99" s="24" t="n">
        <v>3</v>
      </c>
      <c r="E99" s="24" t="n">
        <v>3</v>
      </c>
      <c r="F99" s="17" t="n">
        <v>4</v>
      </c>
      <c r="G99" s="24" t="n">
        <v>3</v>
      </c>
      <c r="H99" s="19" t="n">
        <v>4</v>
      </c>
      <c r="I99" s="27" t="inlineStr">
        <is>
          <t>SDT</t>
        </is>
      </c>
      <c r="J99" s="28" t="inlineStr">
        <is>
          <t>Autonomy (Mid)</t>
        </is>
      </c>
    </row>
    <row r="100" ht="21.75" customHeight="1" s="63">
      <c r="A100" s="21" t="n"/>
      <c r="B100" s="23" t="n"/>
      <c r="C100" s="23" t="inlineStr">
        <is>
          <t>C — Agree to their preference to avoid conflict, even if unhappy</t>
        </is>
      </c>
      <c r="D100" s="24" t="n">
        <v>1</v>
      </c>
      <c r="E100" s="24" t="n">
        <v>2</v>
      </c>
      <c r="F100" s="24" t="n">
        <v>1</v>
      </c>
      <c r="G100" s="24" t="n">
        <v>2</v>
      </c>
      <c r="H100" s="24" t="n">
        <v>1</v>
      </c>
      <c r="I100" s="27" t="inlineStr">
        <is>
          <t>SDT</t>
        </is>
      </c>
      <c r="J100" s="28" t="inlineStr">
        <is>
          <t>Autonomy (Low) / Controlled motivation</t>
        </is>
      </c>
    </row>
    <row r="101" ht="21.75" customHeight="1" s="63">
      <c r="A101" s="21" t="n"/>
      <c r="B101" s="23" t="n"/>
      <c r="C101" s="23" t="inlineStr">
        <is>
          <t>D — Delay the decision and hope the situation resolves itself</t>
        </is>
      </c>
      <c r="D101" s="24" t="n">
        <v>2</v>
      </c>
      <c r="E101" s="24" t="n">
        <v>2</v>
      </c>
      <c r="F101" s="24" t="n">
        <v>2</v>
      </c>
      <c r="G101" s="24" t="n">
        <v>2</v>
      </c>
      <c r="H101" s="24" t="n">
        <v>1</v>
      </c>
      <c r="I101" s="27" t="inlineStr">
        <is>
          <t>SDT + CDM</t>
        </is>
      </c>
      <c r="J101" s="28" t="inlineStr">
        <is>
          <t>Low autonomy + avoidant</t>
        </is>
      </c>
    </row>
    <row r="102" ht="27.75" customHeight="1" s="63">
      <c r="A102" s="9" t="n">
        <v>23</v>
      </c>
      <c r="B102" s="10" t="inlineStr">
        <is>
          <t>You're asked to rate yourself honestly. Which statement is most accurate?</t>
        </is>
      </c>
      <c r="C102" s="11" t="inlineStr">
        <is>
          <t>A — I understand my strengths, weaknesses, values, and motivations clearly</t>
        </is>
      </c>
      <c r="D102" s="29" t="n">
        <v>4</v>
      </c>
      <c r="E102" s="16" t="n">
        <v>4</v>
      </c>
      <c r="F102" s="30" t="n">
        <v>5</v>
      </c>
      <c r="G102" s="18" t="n">
        <v>5</v>
      </c>
      <c r="H102" s="26" t="n">
        <v>5</v>
      </c>
      <c r="I102" s="14" t="inlineStr">
        <is>
          <t>MI + CDM</t>
        </is>
      </c>
      <c r="J102" s="15" t="inlineStr">
        <is>
          <t>Intrapersonal + Self-awareness</t>
        </is>
      </c>
    </row>
    <row r="103" ht="21.75" customHeight="1" s="63">
      <c r="A103" s="9" t="n"/>
      <c r="B103" s="11" t="n"/>
      <c r="C103" s="11" t="inlineStr">
        <is>
          <t>B — I know some things about myself but a lot is still unclear</t>
        </is>
      </c>
      <c r="D103" s="13" t="n">
        <v>3</v>
      </c>
      <c r="E103" s="13" t="n">
        <v>3</v>
      </c>
      <c r="F103" s="13" t="n">
        <v>3</v>
      </c>
      <c r="G103" s="13" t="n">
        <v>3</v>
      </c>
      <c r="H103" s="13" t="n">
        <v>3</v>
      </c>
      <c r="I103" s="14" t="inlineStr">
        <is>
          <t>MI + CDM</t>
        </is>
      </c>
      <c r="J103" s="15" t="inlineStr">
        <is>
          <t>Developing self-awareness</t>
        </is>
      </c>
    </row>
    <row r="104" ht="21.75" customHeight="1" s="63">
      <c r="A104" s="9" t="n"/>
      <c r="B104" s="11" t="n"/>
      <c r="C104" s="11" t="inlineStr">
        <is>
          <t>C — I find it difficult to reflect on myself — I just go with the flow</t>
        </is>
      </c>
      <c r="D104" s="13" t="n">
        <v>2</v>
      </c>
      <c r="E104" s="13" t="n">
        <v>2</v>
      </c>
      <c r="F104" s="13" t="n">
        <v>2</v>
      </c>
      <c r="G104" s="13" t="n">
        <v>2</v>
      </c>
      <c r="H104" s="13" t="n">
        <v>2</v>
      </c>
      <c r="I104" s="14" t="inlineStr">
        <is>
          <t>MI + CDM</t>
        </is>
      </c>
      <c r="J104" s="15" t="inlineStr">
        <is>
          <t>Low intrapersonal</t>
        </is>
      </c>
    </row>
    <row r="105" ht="21.75" customHeight="1" s="63">
      <c r="A105" s="9" t="n"/>
      <c r="B105" s="11" t="n"/>
      <c r="C105" s="11" t="inlineStr">
        <is>
          <t>D — I understand myself but I often doubt what I know</t>
        </is>
      </c>
      <c r="D105" s="13" t="n">
        <v>2</v>
      </c>
      <c r="E105" s="13" t="n">
        <v>3</v>
      </c>
      <c r="F105" s="13" t="n">
        <v>2</v>
      </c>
      <c r="G105" s="13" t="n">
        <v>3</v>
      </c>
      <c r="H105" s="13" t="n">
        <v>2</v>
      </c>
      <c r="I105" s="14" t="inlineStr">
        <is>
          <t>MI</t>
        </is>
      </c>
      <c r="J105" s="15" t="inlineStr">
        <is>
          <t>Intrapersonal + Neuroticism</t>
        </is>
      </c>
    </row>
    <row r="106" ht="27.75" customHeight="1" s="63">
      <c r="A106" s="21" t="n">
        <v>24</v>
      </c>
      <c r="B106" s="22" t="inlineStr">
        <is>
          <t>On a group project, which role do you naturally drift into?</t>
        </is>
      </c>
      <c r="C106" s="23" t="inlineStr">
        <is>
          <t>A — The one who motivates the group and keeps morale high</t>
        </is>
      </c>
      <c r="D106" s="24" t="n">
        <v>3</v>
      </c>
      <c r="E106" s="24" t="n">
        <v>3</v>
      </c>
      <c r="F106" s="17" t="n">
        <v>4</v>
      </c>
      <c r="G106" s="18" t="n">
        <v>5</v>
      </c>
      <c r="H106" s="19" t="n">
        <v>4</v>
      </c>
      <c r="I106" s="27" t="inlineStr">
        <is>
          <t>Holland + MI</t>
        </is>
      </c>
      <c r="J106" s="28" t="inlineStr">
        <is>
          <t>Social + Interpersonal</t>
        </is>
      </c>
    </row>
    <row r="107" ht="21.75" customHeight="1" s="63">
      <c r="A107" s="21" t="n"/>
      <c r="B107" s="23" t="n"/>
      <c r="C107" s="23" t="inlineStr">
        <is>
          <t>B — The one who structures the plan and assigns tasks</t>
        </is>
      </c>
      <c r="D107" s="24" t="n">
        <v>3</v>
      </c>
      <c r="E107" s="25" t="n">
        <v>5</v>
      </c>
      <c r="F107" s="24" t="n">
        <v>3</v>
      </c>
      <c r="G107" s="24" t="n">
        <v>3</v>
      </c>
      <c r="H107" s="26" t="n">
        <v>5</v>
      </c>
      <c r="I107" s="27" t="inlineStr">
        <is>
          <t>Holland</t>
        </is>
      </c>
      <c r="J107" s="28" t="inlineStr">
        <is>
          <t>Conventional (C)</t>
        </is>
      </c>
    </row>
    <row r="108" ht="21.75" customHeight="1" s="63">
      <c r="A108" s="21" t="n"/>
      <c r="B108" s="23" t="n"/>
      <c r="C108" s="23" t="inlineStr">
        <is>
          <t>C — The one who generates the most ideas and challenges assumptions</t>
        </is>
      </c>
      <c r="D108" s="12" t="n">
        <v>5</v>
      </c>
      <c r="E108" s="24" t="n">
        <v>3</v>
      </c>
      <c r="F108" s="30" t="n">
        <v>5</v>
      </c>
      <c r="G108" s="20" t="n">
        <v>4</v>
      </c>
      <c r="H108" s="19" t="n">
        <v>4</v>
      </c>
      <c r="I108" s="27" t="inlineStr">
        <is>
          <t>Holland + Big Five</t>
        </is>
      </c>
      <c r="J108" s="28" t="inlineStr">
        <is>
          <t>Enterprising + Openness</t>
        </is>
      </c>
    </row>
    <row r="109" ht="21.75" customHeight="1" s="63">
      <c r="A109" s="21" t="n"/>
      <c r="B109" s="23" t="n"/>
      <c r="C109" s="23" t="inlineStr">
        <is>
          <t>D — The one who executes and gets the actual work done</t>
        </is>
      </c>
      <c r="D109" s="29" t="n">
        <v>4</v>
      </c>
      <c r="E109" s="16" t="n">
        <v>4</v>
      </c>
      <c r="F109" s="24" t="n">
        <v>3</v>
      </c>
      <c r="G109" s="24" t="n">
        <v>3</v>
      </c>
      <c r="H109" s="19" t="n">
        <v>4</v>
      </c>
      <c r="I109" s="27" t="inlineStr">
        <is>
          <t>Holland</t>
        </is>
      </c>
      <c r="J109" s="28" t="inlineStr">
        <is>
          <t>Realistic (R)</t>
        </is>
      </c>
    </row>
    <row r="110" ht="21.75" customHeight="1" s="63">
      <c r="A110" s="21" t="n"/>
      <c r="B110" s="23" t="n"/>
      <c r="C110" s="23" t="inlineStr">
        <is>
          <t>E — The one who researches and makes sure decisions are evidence-based</t>
        </is>
      </c>
      <c r="D110" s="24" t="n">
        <v>3</v>
      </c>
      <c r="E110" s="25" t="n">
        <v>5</v>
      </c>
      <c r="F110" s="17" t="n">
        <v>4</v>
      </c>
      <c r="G110" s="24" t="n">
        <v>2</v>
      </c>
      <c r="H110" s="26" t="n">
        <v>5</v>
      </c>
      <c r="I110" s="27" t="inlineStr">
        <is>
          <t>Holland</t>
        </is>
      </c>
      <c r="J110" s="28" t="inlineStr">
        <is>
          <t>Investigative (I)</t>
        </is>
      </c>
    </row>
    <row r="111" ht="27.75" customHeight="1" s="63">
      <c r="A111" s="9" t="n">
        <v>25</v>
      </c>
      <c r="B111" s="10" t="inlineStr">
        <is>
          <t>10 years from now, the version of you that feels most fulfilled is someone who…</t>
        </is>
      </c>
      <c r="C111" s="11" t="inlineStr">
        <is>
          <t>A — Has built something — a company, product, or system others depend on</t>
        </is>
      </c>
      <c r="D111" s="12" t="n">
        <v>5</v>
      </c>
      <c r="E111" s="13" t="n">
        <v>3</v>
      </c>
      <c r="F111" s="30" t="n">
        <v>5</v>
      </c>
      <c r="G111" s="20" t="n">
        <v>4</v>
      </c>
      <c r="H111" s="26" t="n">
        <v>5</v>
      </c>
      <c r="I111" s="14" t="inlineStr">
        <is>
          <t>Holland + SDT</t>
        </is>
      </c>
      <c r="J111" s="15" t="inlineStr">
        <is>
          <t>Enterprising + Intrinsic Purpose</t>
        </is>
      </c>
    </row>
    <row r="112" ht="21.75" customHeight="1" s="63">
      <c r="A112" s="9" t="n"/>
      <c r="B112" s="11" t="n"/>
      <c r="C112" s="11" t="inlineStr">
        <is>
          <t>B — Is recognised as an expert or leader in their field</t>
        </is>
      </c>
      <c r="D112" s="29" t="n">
        <v>4</v>
      </c>
      <c r="E112" s="16" t="n">
        <v>4</v>
      </c>
      <c r="F112" s="17" t="n">
        <v>4</v>
      </c>
      <c r="G112" s="13" t="n">
        <v>3</v>
      </c>
      <c r="H112" s="26" t="n">
        <v>5</v>
      </c>
      <c r="I112" s="14" t="inlineStr">
        <is>
          <t>Holland + SDT</t>
        </is>
      </c>
      <c r="J112" s="15" t="inlineStr">
        <is>
          <t>Investigative + Mastery</t>
        </is>
      </c>
    </row>
    <row r="113" ht="21.75" customHeight="1" s="63">
      <c r="A113" s="9" t="n"/>
      <c r="B113" s="11" t="n"/>
      <c r="C113" s="11" t="inlineStr">
        <is>
          <t>C — Has made a visible, tangible difference in people's lives</t>
        </is>
      </c>
      <c r="D113" s="13" t="n">
        <v>3</v>
      </c>
      <c r="E113" s="13" t="n">
        <v>3</v>
      </c>
      <c r="F113" s="30" t="n">
        <v>5</v>
      </c>
      <c r="G113" s="18" t="n">
        <v>5</v>
      </c>
      <c r="H113" s="26" t="n">
        <v>5</v>
      </c>
      <c r="I113" s="14" t="inlineStr">
        <is>
          <t>Holland + SDT</t>
        </is>
      </c>
      <c r="J113" s="15" t="inlineStr">
        <is>
          <t>Social + Intrinsic Purpose</t>
        </is>
      </c>
    </row>
    <row r="114" ht="21.75" customHeight="1" s="63">
      <c r="A114" s="9" t="n"/>
      <c r="B114" s="11" t="n"/>
      <c r="C114" s="11" t="inlineStr">
        <is>
          <t>D — Has creative work in the world that reflects who they are</t>
        </is>
      </c>
      <c r="D114" s="29" t="n">
        <v>4</v>
      </c>
      <c r="E114" s="13" t="n">
        <v>2</v>
      </c>
      <c r="F114" s="30" t="n">
        <v>5</v>
      </c>
      <c r="G114" s="18" t="n">
        <v>5</v>
      </c>
      <c r="H114" s="19" t="n">
        <v>4</v>
      </c>
      <c r="I114" s="14" t="inlineStr">
        <is>
          <t>Holland + SDT</t>
        </is>
      </c>
      <c r="J114" s="15" t="inlineStr">
        <is>
          <t>Artistic + Intrinsic</t>
        </is>
      </c>
    </row>
    <row r="115" ht="21.75" customHeight="1" s="63">
      <c r="A115" s="9" t="n"/>
      <c r="B115" s="11" t="n"/>
      <c r="C115" s="11" t="inlineStr">
        <is>
          <t>E — Has financial freedom, stability, and professional respect</t>
        </is>
      </c>
      <c r="D115" s="13" t="n">
        <v>3</v>
      </c>
      <c r="E115" s="16" t="n">
        <v>4</v>
      </c>
      <c r="F115" s="13" t="n">
        <v>3</v>
      </c>
      <c r="G115" s="13" t="n">
        <v>3</v>
      </c>
      <c r="H115" s="19" t="n">
        <v>4</v>
      </c>
      <c r="I115" s="14" t="inlineStr">
        <is>
          <t>SDT</t>
        </is>
      </c>
      <c r="J115" s="15" t="inlineStr">
        <is>
          <t>Extrinsic — Security/Status</t>
        </is>
      </c>
    </row>
  </sheetData>
  <mergeCells count="3">
    <mergeCell ref="A1:J1"/>
    <mergeCell ref="A4:J4"/>
    <mergeCell ref="A2:J2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ColWidth="12.63" defaultRowHeight="15" customHeight="1"/>
  <cols>
    <col width="7" customWidth="1" style="63" min="1" max="1"/>
    <col width="39.38" customWidth="1" style="63" min="2" max="2"/>
    <col width="15.75" customWidth="1" style="63" min="3" max="7"/>
    <col width="7.63" customWidth="1" style="63" min="8" max="11"/>
  </cols>
  <sheetData>
    <row r="1" ht="30" customHeight="1" s="63">
      <c r="A1" s="67" t="inlineStr">
        <is>
          <t>LOCUS — STUDENT RESPONSE SHEET &amp; COMPOSITE CAREER FIT CALCULATOR</t>
        </is>
      </c>
    </row>
    <row r="2">
      <c r="A2" s="68" t="inlineStr">
        <is>
          <t>INSTRUCTIONS: For each question, paste or type the scores from the Q&amp;A Engine sheet for the option the student selected.</t>
        </is>
      </c>
    </row>
    <row r="3" ht="27.75" customHeight="1" s="63">
      <c r="A3" s="33" t="inlineStr">
        <is>
          <t>Q#</t>
        </is>
      </c>
      <c r="B3" s="33" t="inlineStr">
        <is>
          <t>Student Selected Answer (paste option text)</t>
        </is>
      </c>
      <c r="C3" s="33" t="inlineStr">
        <is>
          <t>Holland (H)</t>
        </is>
      </c>
      <c r="D3" s="33" t="inlineStr">
        <is>
          <t>OCEAN (O)</t>
        </is>
      </c>
      <c r="E3" s="33" t="inlineStr">
        <is>
          <t>SDT (S)</t>
        </is>
      </c>
      <c r="F3" s="33" t="inlineStr">
        <is>
          <t>MI (M)</t>
        </is>
      </c>
      <c r="G3" s="33" t="inlineStr">
        <is>
          <t>CDM (D)</t>
        </is>
      </c>
    </row>
    <row r="4" ht="19.5" customHeight="1" s="63">
      <c r="A4" s="9" t="n">
        <v>1</v>
      </c>
      <c r="B4" s="34" t="inlineStr">
        <is>
          <t>[Paste student's answer here]</t>
        </is>
      </c>
      <c r="C4" s="35" t="n">
        <v>0</v>
      </c>
      <c r="D4" s="35" t="n">
        <v>0</v>
      </c>
      <c r="E4" s="35" t="n">
        <v>0</v>
      </c>
      <c r="F4" s="35" t="n">
        <v>0</v>
      </c>
      <c r="G4" s="35" t="n">
        <v>0</v>
      </c>
    </row>
    <row r="5" ht="19.5" customHeight="1" s="63">
      <c r="A5" s="21" t="n">
        <v>2</v>
      </c>
      <c r="B5" s="36" t="inlineStr">
        <is>
          <t>[Paste student's answer here]</t>
        </is>
      </c>
      <c r="C5" s="35" t="n">
        <v>0</v>
      </c>
      <c r="D5" s="35" t="n">
        <v>0</v>
      </c>
      <c r="E5" s="35" t="n">
        <v>0</v>
      </c>
      <c r="F5" s="35" t="n">
        <v>0</v>
      </c>
      <c r="G5" s="35" t="n">
        <v>0</v>
      </c>
    </row>
    <row r="6" ht="19.5" customHeight="1" s="63">
      <c r="A6" s="9" t="n">
        <v>3</v>
      </c>
      <c r="B6" s="34" t="inlineStr">
        <is>
          <t>[Paste student's answer here]</t>
        </is>
      </c>
      <c r="C6" s="35" t="n">
        <v>0</v>
      </c>
      <c r="D6" s="35" t="n">
        <v>0</v>
      </c>
      <c r="E6" s="35" t="n">
        <v>0</v>
      </c>
      <c r="F6" s="35" t="n">
        <v>0</v>
      </c>
      <c r="G6" s="35" t="n">
        <v>0</v>
      </c>
    </row>
    <row r="7" ht="19.5" customHeight="1" s="63">
      <c r="A7" s="21" t="n">
        <v>4</v>
      </c>
      <c r="B7" s="36" t="inlineStr">
        <is>
          <t>[Paste student's answer here]</t>
        </is>
      </c>
      <c r="C7" s="35" t="n">
        <v>0</v>
      </c>
      <c r="D7" s="35" t="n">
        <v>0</v>
      </c>
      <c r="E7" s="35" t="n">
        <v>0</v>
      </c>
      <c r="F7" s="35" t="n">
        <v>0</v>
      </c>
      <c r="G7" s="35" t="n">
        <v>0</v>
      </c>
    </row>
    <row r="8" ht="19.5" customHeight="1" s="63">
      <c r="A8" s="9" t="n">
        <v>5</v>
      </c>
      <c r="B8" s="34" t="inlineStr">
        <is>
          <t>[Paste student's answer here]</t>
        </is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</row>
    <row r="9" ht="19.5" customHeight="1" s="63">
      <c r="A9" s="21" t="n">
        <v>6</v>
      </c>
      <c r="B9" s="36" t="inlineStr">
        <is>
          <t>[Paste student's answer here]</t>
        </is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</row>
    <row r="10" ht="19.5" customHeight="1" s="63">
      <c r="A10" s="9" t="n">
        <v>7</v>
      </c>
      <c r="B10" s="34" t="inlineStr">
        <is>
          <t>[Paste student's answer here]</t>
        </is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</row>
    <row r="11" ht="19.5" customHeight="1" s="63">
      <c r="A11" s="21" t="n">
        <v>8</v>
      </c>
      <c r="B11" s="36" t="inlineStr">
        <is>
          <t>[Paste student's answer here]</t>
        </is>
      </c>
      <c r="C11" s="35" t="n">
        <v>0</v>
      </c>
      <c r="D11" s="35" t="n">
        <v>0</v>
      </c>
      <c r="E11" s="35" t="n">
        <v>0</v>
      </c>
      <c r="F11" s="35" t="n">
        <v>0</v>
      </c>
      <c r="G11" s="35" t="n">
        <v>0</v>
      </c>
    </row>
    <row r="12" ht="19.5" customHeight="1" s="63">
      <c r="A12" s="9" t="n">
        <v>9</v>
      </c>
      <c r="B12" s="34" t="inlineStr">
        <is>
          <t>[Paste student's answer here]</t>
        </is>
      </c>
      <c r="C12" s="35" t="n">
        <v>0</v>
      </c>
      <c r="D12" s="35" t="n">
        <v>0</v>
      </c>
      <c r="E12" s="35" t="n">
        <v>0</v>
      </c>
      <c r="F12" s="35" t="n">
        <v>0</v>
      </c>
      <c r="G12" s="35" t="n">
        <v>0</v>
      </c>
    </row>
    <row r="13" ht="19.5" customHeight="1" s="63">
      <c r="A13" s="21" t="n">
        <v>10</v>
      </c>
      <c r="B13" s="36" t="inlineStr">
        <is>
          <t>[Paste student's answer here]</t>
        </is>
      </c>
      <c r="C13" s="35" t="n">
        <v>0</v>
      </c>
      <c r="D13" s="35" t="n">
        <v>0</v>
      </c>
      <c r="E13" s="35" t="n">
        <v>0</v>
      </c>
      <c r="F13" s="35" t="n">
        <v>0</v>
      </c>
      <c r="G13" s="35" t="n">
        <v>0</v>
      </c>
    </row>
    <row r="14" ht="19.5" customHeight="1" s="63">
      <c r="A14" s="9" t="n">
        <v>11</v>
      </c>
      <c r="B14" s="34" t="inlineStr">
        <is>
          <t>[Paste student's answer here]</t>
        </is>
      </c>
      <c r="C14" s="35" t="n">
        <v>0</v>
      </c>
      <c r="D14" s="35" t="n">
        <v>0</v>
      </c>
      <c r="E14" s="35" t="n">
        <v>0</v>
      </c>
      <c r="F14" s="35" t="n">
        <v>0</v>
      </c>
      <c r="G14" s="35" t="n">
        <v>0</v>
      </c>
    </row>
    <row r="15" ht="19.5" customHeight="1" s="63">
      <c r="A15" s="21" t="n">
        <v>12</v>
      </c>
      <c r="B15" s="36" t="inlineStr">
        <is>
          <t>[Paste student's answer here]</t>
        </is>
      </c>
      <c r="C15" s="35" t="n">
        <v>0</v>
      </c>
      <c r="D15" s="35" t="n">
        <v>0</v>
      </c>
      <c r="E15" s="35" t="n">
        <v>0</v>
      </c>
      <c r="F15" s="35" t="n">
        <v>0</v>
      </c>
      <c r="G15" s="35" t="n">
        <v>0</v>
      </c>
    </row>
    <row r="16" ht="19.5" customHeight="1" s="63">
      <c r="A16" s="9" t="n">
        <v>13</v>
      </c>
      <c r="B16" s="34" t="inlineStr">
        <is>
          <t>[Paste student's answer here]</t>
        </is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</row>
    <row r="17" ht="19.5" customHeight="1" s="63">
      <c r="A17" s="21" t="n">
        <v>14</v>
      </c>
      <c r="B17" s="36" t="inlineStr">
        <is>
          <t>[Paste student's answer here]</t>
        </is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</row>
    <row r="18" ht="19.5" customHeight="1" s="63">
      <c r="A18" s="9" t="n">
        <v>15</v>
      </c>
      <c r="B18" s="34" t="inlineStr">
        <is>
          <t>[Paste student's answer here]</t>
        </is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</row>
    <row r="19" ht="19.5" customHeight="1" s="63">
      <c r="A19" s="21" t="n">
        <v>16</v>
      </c>
      <c r="B19" s="36" t="inlineStr">
        <is>
          <t>[Paste student's answer here]</t>
        </is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</row>
    <row r="20" ht="19.5" customHeight="1" s="63">
      <c r="A20" s="9" t="n">
        <v>17</v>
      </c>
      <c r="B20" s="34" t="inlineStr">
        <is>
          <t>[Paste student's answer here]</t>
        </is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0</v>
      </c>
    </row>
    <row r="21" ht="19.5" customHeight="1" s="63">
      <c r="A21" s="21" t="n">
        <v>18</v>
      </c>
      <c r="B21" s="36" t="inlineStr">
        <is>
          <t>[Paste student's answer here]</t>
        </is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</row>
    <row r="22" ht="19.5" customHeight="1" s="63">
      <c r="A22" s="9" t="n">
        <v>19</v>
      </c>
      <c r="B22" s="34" t="inlineStr">
        <is>
          <t>[Paste student's answer here]</t>
        </is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</row>
    <row r="23" ht="19.5" customHeight="1" s="63">
      <c r="A23" s="21" t="n">
        <v>20</v>
      </c>
      <c r="B23" s="36" t="inlineStr">
        <is>
          <t>[Paste student's answer here]</t>
        </is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</row>
    <row r="24" ht="19.5" customHeight="1" s="63">
      <c r="A24" s="9" t="n">
        <v>21</v>
      </c>
      <c r="B24" s="34" t="inlineStr">
        <is>
          <t>[Paste student's answer here]</t>
        </is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</row>
    <row r="25" ht="19.5" customHeight="1" s="63">
      <c r="A25" s="21" t="n">
        <v>22</v>
      </c>
      <c r="B25" s="36" t="inlineStr">
        <is>
          <t>[Paste student's answer here]</t>
        </is>
      </c>
      <c r="C25" s="35" t="n">
        <v>0</v>
      </c>
      <c r="D25" s="35" t="n">
        <v>0</v>
      </c>
      <c r="E25" s="35" t="n">
        <v>0</v>
      </c>
      <c r="F25" s="35" t="n">
        <v>0</v>
      </c>
      <c r="G25" s="35" t="n">
        <v>0</v>
      </c>
    </row>
    <row r="26" ht="19.5" customHeight="1" s="63">
      <c r="A26" s="9" t="n">
        <v>23</v>
      </c>
      <c r="B26" s="34" t="inlineStr">
        <is>
          <t>[Paste student's answer here]</t>
        </is>
      </c>
      <c r="C26" s="35" t="n">
        <v>0</v>
      </c>
      <c r="D26" s="35" t="n">
        <v>0</v>
      </c>
      <c r="E26" s="35" t="n">
        <v>0</v>
      </c>
      <c r="F26" s="35" t="n">
        <v>0</v>
      </c>
      <c r="G26" s="35" t="n">
        <v>0</v>
      </c>
    </row>
    <row r="27" ht="19.5" customHeight="1" s="63">
      <c r="A27" s="21" t="n">
        <v>24</v>
      </c>
      <c r="B27" s="36" t="inlineStr">
        <is>
          <t>[Paste student's answer here]</t>
        </is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</row>
    <row r="28" ht="19.5" customHeight="1" s="63">
      <c r="A28" s="9" t="n">
        <v>25</v>
      </c>
      <c r="B28" s="34" t="inlineStr">
        <is>
          <t>[Paste student's answer here]</t>
        </is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</row>
    <row r="29" ht="15.75" customHeight="1" s="63">
      <c r="A29" s="37" t="inlineStr">
        <is>
          <t>TOTAL</t>
        </is>
      </c>
      <c r="B29" s="6" t="inlineStr">
        <is>
          <t>Raw Score (max 125 per theory)</t>
        </is>
      </c>
      <c r="C29" s="38">
        <f>SUM(C4:C28)</f>
        <v/>
      </c>
      <c r="D29" s="38">
        <f>SUM(D4:D28)</f>
        <v/>
      </c>
      <c r="E29" s="38">
        <f>SUM(E4:E28)</f>
        <v/>
      </c>
      <c r="F29" s="38">
        <f>SUM(F4:F28)</f>
        <v/>
      </c>
      <c r="G29" s="38">
        <f>SUM(G4:G28)</f>
        <v/>
      </c>
    </row>
    <row r="30" ht="15.75" customHeight="1" s="63">
      <c r="A30" s="39" t="inlineStr">
        <is>
          <t>SCORE %</t>
        </is>
      </c>
      <c r="B30" s="40" t="inlineStr">
        <is>
          <t>Normalised 0–100 per theory (÷125 × 100)</t>
        </is>
      </c>
      <c r="C30" s="41">
        <f>ROUND(C29/125*100,1)</f>
        <v/>
      </c>
      <c r="D30" s="41">
        <f>ROUND(D29/125*100,1)</f>
        <v/>
      </c>
      <c r="E30" s="41">
        <f>ROUND(E29/125*100,1)</f>
        <v/>
      </c>
      <c r="F30" s="41">
        <f>ROUND(F29/125*100,1)</f>
        <v/>
      </c>
      <c r="G30" s="41">
        <f>ROUND(G29/125*100,1)</f>
        <v/>
      </c>
    </row>
    <row r="31" ht="15.75" customHeight="1" s="63"/>
    <row r="32" ht="15.75" customHeight="1" s="63">
      <c r="A32" s="69" t="inlineStr">
        <is>
          <t>COMPOSITE CAREER FIT SCORE (CCFS) — THE MASTER FORMULA</t>
        </is>
      </c>
    </row>
    <row r="33" ht="15.75" customHeight="1" s="63">
      <c r="A33" s="43" t="inlineStr">
        <is>
          <t>CCFS Formula:</t>
        </is>
      </c>
      <c r="C33" s="44">
        <f>(C30*0.25 + D30*0.2 + E30*0.25 + F30*0.2 + G30*0.1)</f>
        <v/>
      </c>
      <c r="D33" s="70" t="n"/>
      <c r="E33" s="70" t="n"/>
      <c r="F33" s="70" t="n"/>
      <c r="G33" s="70" t="n"/>
    </row>
    <row r="34" ht="15.75" customHeight="1" s="63">
      <c r="A34" s="46" t="inlineStr">
        <is>
          <t>CCFS Result:</t>
        </is>
      </c>
      <c r="C34" s="71">
        <f>ROUND(C30*0.25 + D30*0.2 + E30*0.25 + F30*0.2 + G30*0.1, 1)</f>
        <v/>
      </c>
      <c r="D34" s="70" t="n"/>
      <c r="E34" s="70" t="n"/>
      <c r="F34" s="70" t="n"/>
      <c r="G34" s="70" t="n"/>
    </row>
    <row r="35" ht="15.75" customHeight="1" s="63">
      <c r="A35" s="49" t="inlineStr">
        <is>
          <t>WEIGHTS: Holland 25%  |  OCEAN 20%  |  SDT 25%  |  MI 20%  |  CDM 10%</t>
        </is>
      </c>
    </row>
    <row r="36" ht="15.75" customHeight="1" s="63">
      <c r="A36" s="50" t="inlineStr">
        <is>
          <t>Motivation Quality Override: If SDT score &lt; 50, apply 0.85× multiplier to CCFS (extrinsic motivation risk flag)</t>
        </is>
      </c>
    </row>
    <row r="37" ht="15.75" customHeight="1" s="63">
      <c r="A37" s="46" t="inlineStr">
        <is>
          <t>Adjusted CCFS (with SDT flag):</t>
        </is>
      </c>
      <c r="C37" s="72">
        <f>IF(E30&lt;50, ROUND(C34*0.85,1), C34)</f>
        <v/>
      </c>
      <c r="D37" s="70" t="n"/>
      <c r="E37" s="70" t="n"/>
      <c r="F37" s="70" t="n"/>
      <c r="G37" s="70" t="n"/>
    </row>
    <row r="38" ht="15.75" customHeight="1" s="63"/>
    <row r="39" ht="15.75" customHeight="1" s="63"/>
    <row r="40" ht="15.75" customHeight="1" s="63"/>
    <row r="41" ht="15.75" customHeight="1" s="63"/>
    <row r="42" ht="15.75" customHeight="1" s="63"/>
    <row r="43" ht="15.75" customHeight="1" s="63"/>
    <row r="44" ht="15.75" customHeight="1" s="63"/>
    <row r="45" ht="15.75" customHeight="1" s="63"/>
    <row r="46" ht="15.75" customHeight="1" s="63"/>
    <row r="47" ht="15.75" customHeight="1" s="63"/>
    <row r="48" ht="15.75" customHeight="1" s="63"/>
    <row r="49" ht="15.75" customHeight="1" s="63"/>
    <row r="50" ht="15.75" customHeight="1" s="63"/>
    <row r="51" ht="15.75" customHeight="1" s="63"/>
    <row r="52" ht="15.75" customHeight="1" s="63"/>
    <row r="53" ht="15.75" customHeight="1" s="63"/>
    <row r="54" ht="15.75" customHeight="1" s="63"/>
    <row r="55" ht="15.75" customHeight="1" s="63"/>
    <row r="56" ht="15.75" customHeight="1" s="63"/>
    <row r="57" ht="15.75" customHeight="1" s="63"/>
    <row r="58" ht="15.75" customHeight="1" s="63"/>
    <row r="59" ht="15.75" customHeight="1" s="63"/>
    <row r="60" ht="15.75" customHeight="1" s="63"/>
    <row r="61" ht="15.75" customHeight="1" s="63"/>
    <row r="62" ht="15.75" customHeight="1" s="63"/>
    <row r="63" ht="15.75" customHeight="1" s="63"/>
    <row r="64" ht="15.75" customHeight="1" s="63"/>
    <row r="65" ht="15.75" customHeight="1" s="63"/>
    <row r="66" ht="15.75" customHeight="1" s="63"/>
    <row r="67" ht="15.75" customHeight="1" s="63"/>
    <row r="68" ht="15.75" customHeight="1" s="63"/>
    <row r="69" ht="15.75" customHeight="1" s="63"/>
    <row r="70" ht="15.75" customHeight="1" s="63"/>
    <row r="71" ht="15.75" customHeight="1" s="63"/>
    <row r="72" ht="15.75" customHeight="1" s="63"/>
    <row r="73" ht="15.75" customHeight="1" s="63"/>
    <row r="74" ht="15.75" customHeight="1" s="63"/>
    <row r="75" ht="15.75" customHeight="1" s="63"/>
    <row r="76" ht="15.75" customHeight="1" s="63"/>
    <row r="77" ht="15.75" customHeight="1" s="63"/>
    <row r="78" ht="15.75" customHeight="1" s="63"/>
    <row r="79" ht="15.75" customHeight="1" s="63"/>
    <row r="80" ht="15.75" customHeight="1" s="63"/>
    <row r="81" ht="15.75" customHeight="1" s="63"/>
    <row r="82" ht="15.75" customHeight="1" s="63"/>
    <row r="83" ht="15.75" customHeight="1" s="63"/>
    <row r="84" ht="15.75" customHeight="1" s="63"/>
    <row r="85" ht="15.75" customHeight="1" s="63"/>
    <row r="86" ht="15.75" customHeight="1" s="63"/>
    <row r="87" ht="15.75" customHeight="1" s="63"/>
    <row r="88" ht="15.75" customHeight="1" s="63"/>
    <row r="89" ht="15.75" customHeight="1" s="63"/>
    <row r="90" ht="15.75" customHeight="1" s="63"/>
    <row r="91" ht="15.75" customHeight="1" s="63"/>
    <row r="92" ht="15.75" customHeight="1" s="63"/>
    <row r="93" ht="15.75" customHeight="1" s="63"/>
    <row r="94" ht="15.75" customHeight="1" s="63"/>
    <row r="95" ht="15.75" customHeight="1" s="63"/>
    <row r="96" ht="15.75" customHeight="1" s="63"/>
    <row r="97" ht="15.75" customHeight="1" s="63"/>
    <row r="98" ht="15.75" customHeight="1" s="63"/>
    <row r="99" ht="15.75" customHeight="1" s="63"/>
    <row r="100" ht="15.75" customHeight="1" s="63"/>
  </sheetData>
  <mergeCells count="11">
    <mergeCell ref="A32:G32"/>
    <mergeCell ref="A36:G36"/>
    <mergeCell ref="A1:G1"/>
    <mergeCell ref="C34:G34"/>
    <mergeCell ref="A33:B33"/>
    <mergeCell ref="A35:G35"/>
    <mergeCell ref="C33:G33"/>
    <mergeCell ref="A37:B37"/>
    <mergeCell ref="C37:G37"/>
    <mergeCell ref="A2:G2"/>
    <mergeCell ref="A34:B34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5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ColWidth="12.63" defaultRowHeight="15" customHeight="1"/>
  <cols>
    <col width="4.4" customWidth="1" style="63" min="1" max="1"/>
    <col width="30" customWidth="1" style="63" min="2" max="2"/>
    <col width="15" customWidth="1" style="63" min="3" max="3"/>
    <col width="6" customWidth="1" style="63" min="4" max="8"/>
    <col width="6" customWidth="1" style="63" min="5" max="5"/>
    <col width="6" customWidth="1" style="63" min="6" max="6"/>
    <col width="6" customWidth="1" style="63" min="7" max="7"/>
    <col width="6" customWidth="1" style="63" min="8" max="8"/>
    <col width="8" customWidth="1" style="63" min="9" max="12"/>
    <col width="8" customWidth="1" style="63" min="10" max="10"/>
    <col width="8" customWidth="1" style="63" min="11" max="11"/>
    <col width="8" customWidth="1" style="63" min="12" max="12"/>
    <col width="11" customWidth="1" style="63" min="13" max="13"/>
    <col width="13" customWidth="1" style="63" min="14" max="14"/>
    <col width="34" customWidth="1" style="63" min="15" max="15"/>
    <col width="11" customWidth="1" style="63" min="16" max="16"/>
    <col width="58" customWidth="1" style="63" min="17" max="17"/>
    <col width="44" customWidth="1" style="63" min="18" max="18"/>
  </cols>
  <sheetData>
    <row r="1" ht="30" customHeight="1" s="63">
      <c r="A1" s="73" t="inlineStr">
        <is>
          <t>LOCUS — 252 CAREER PATH MATCHING ENGINE  ·  incl. degree-agnostic &amp; cross-degree pivot paths</t>
        </is>
      </c>
    </row>
    <row r="2" ht="28" customHeight="1" s="63">
      <c r="A2" s="74" t="inlineStr">
        <is>
          <t>Each career has a SUCCESS PROFILE (expected scores). Delta = |Student Score − Success Profile|. Lower delta = better fit.  The last four columns show whether a career is reachable WITHOUT the "expected" bachelor's degree, and how.</t>
        </is>
      </c>
    </row>
    <row r="3" ht="27.75" customHeight="1" s="63">
      <c r="A3" s="33" t="inlineStr">
        <is>
          <t>#</t>
        </is>
      </c>
      <c r="B3" s="33" t="inlineStr">
        <is>
          <t>Career Path</t>
        </is>
      </c>
      <c r="C3" s="33" t="inlineStr">
        <is>
          <t>Domain</t>
        </is>
      </c>
      <c r="D3" s="33" t="inlineStr">
        <is>
          <t>H✓</t>
        </is>
      </c>
      <c r="E3" s="33" t="inlineStr">
        <is>
          <t>O✓</t>
        </is>
      </c>
      <c r="F3" s="33" t="inlineStr">
        <is>
          <t>S✓</t>
        </is>
      </c>
      <c r="G3" s="33" t="inlineStr">
        <is>
          <t>M✓</t>
        </is>
      </c>
      <c r="H3" s="33" t="inlineStr">
        <is>
          <t>D✓</t>
        </is>
      </c>
      <c r="I3" s="33" t="inlineStr">
        <is>
          <t>Δ Holland</t>
        </is>
      </c>
      <c r="J3" s="33" t="inlineStr">
        <is>
          <t>Δ OCEAN</t>
        </is>
      </c>
      <c r="K3" s="33" t="inlineStr">
        <is>
          <t>Δ SDT</t>
        </is>
      </c>
      <c r="L3" s="33" t="inlineStr">
        <is>
          <t>Δ MI</t>
        </is>
      </c>
      <c r="M3" s="33" t="inlineStr">
        <is>
          <t>Fit Score (100)</t>
        </is>
      </c>
      <c r="N3" s="33" t="inlineStr">
        <is>
          <t>Status</t>
        </is>
      </c>
      <c r="O3" s="75" t="inlineStr">
        <is>
          <t>Typical Degree</t>
        </is>
      </c>
      <c r="P3" s="75" t="inlineStr">
        <is>
          <t>Degree-Agnostic?</t>
        </is>
      </c>
      <c r="Q3" s="75" t="inlineStr">
        <is>
          <t>Alt Entry Route (no/other degree)</t>
        </is>
      </c>
      <c r="R3" s="75" t="inlineStr">
        <is>
          <t>Pivot From (degrees that feed it)</t>
        </is>
      </c>
    </row>
    <row r="4" ht="30" customHeight="1" s="63">
      <c r="A4" s="76" t="n">
        <v>1</v>
      </c>
      <c r="B4" s="77" t="inlineStr">
        <is>
          <t>Medical Doctor (MBBS→MD)</t>
        </is>
      </c>
      <c r="C4" s="78" t="inlineStr">
        <is>
          <t>Medicine</t>
        </is>
      </c>
      <c r="D4" s="76" t="n">
        <v>85</v>
      </c>
      <c r="E4" s="76" t="n">
        <v>75</v>
      </c>
      <c r="F4" s="76" t="n">
        <v>80</v>
      </c>
      <c r="G4" s="76" t="n">
        <v>70</v>
      </c>
      <c r="H4" s="76" t="n">
        <v>80</v>
      </c>
      <c r="I4" s="76">
        <f>ABS('Student Calculator'!C30-D4)</f>
        <v/>
      </c>
      <c r="J4" s="76">
        <f>ABS('Student Calculator'!D30-E4)</f>
        <v/>
      </c>
      <c r="K4" s="76">
        <f>ABS('Student Calculator'!E30-F4)</f>
        <v/>
      </c>
      <c r="L4" s="76">
        <f>ABS('Student Calculator'!F30-G4)</f>
        <v/>
      </c>
      <c r="M4" s="79">
        <f>ROUND(MAX(0, 100 - (I4*0.25 + J4*0.2 + K4*0.25 + L4*0.2)), 1)</f>
        <v/>
      </c>
      <c r="N4" s="80">
        <f>IF(M4&gt;=72,"🟢 BEST FIT",IF(M4&gt;=52,"🟡 CONSIDER","🔴 MISMATCH"))</f>
        <v/>
      </c>
      <c r="O4" s="81" t="inlineStr">
        <is>
          <t>MBBS (via NEET-UG)</t>
        </is>
      </c>
      <c r="P4" s="82" t="inlineStr">
        <is>
          <t>No</t>
        </is>
      </c>
      <c r="Q4" s="81" t="inlineStr">
        <is>
          <t>None — MBBS is statutorily mandatory; NEET-UG is the only entry</t>
        </is>
      </c>
      <c r="R4" s="81" t="inlineStr">
        <is>
          <t>Class 12 PCB only</t>
        </is>
      </c>
    </row>
    <row r="5" ht="30" customHeight="1" s="63">
      <c r="A5" s="83" t="n">
        <v>2</v>
      </c>
      <c r="B5" s="84" t="inlineStr">
        <is>
          <t>Surgeon</t>
        </is>
      </c>
      <c r="C5" s="85" t="inlineStr">
        <is>
          <t>Medicine</t>
        </is>
      </c>
      <c r="D5" s="83" t="n">
        <v>85</v>
      </c>
      <c r="E5" s="83" t="n">
        <v>80</v>
      </c>
      <c r="F5" s="83" t="n">
        <v>75</v>
      </c>
      <c r="G5" s="83" t="n">
        <v>75</v>
      </c>
      <c r="H5" s="83" t="n">
        <v>80</v>
      </c>
      <c r="I5" s="83">
        <f>ABS('Student Calculator'!C30-D5)</f>
        <v/>
      </c>
      <c r="J5" s="83">
        <f>ABS('Student Calculator'!D30-E5)</f>
        <v/>
      </c>
      <c r="K5" s="83">
        <f>ABS('Student Calculator'!E30-F5)</f>
        <v/>
      </c>
      <c r="L5" s="83">
        <f>ABS('Student Calculator'!F30-G5)</f>
        <v/>
      </c>
      <c r="M5" s="86">
        <f>ROUND(MAX(0, 100 - (I5*0.25 + J5*0.2 + K5*0.25 + L5*0.2)), 1)</f>
        <v/>
      </c>
      <c r="N5" s="87">
        <f>IF(M5&gt;=72,"🟢 BEST FIT",IF(M5&gt;=52,"🟡 CONSIDER","🔴 MISMATCH"))</f>
        <v/>
      </c>
      <c r="O5" s="88" t="inlineStr">
        <is>
          <t>MBBS → MS/DNB (NEET-PG)</t>
        </is>
      </c>
      <c r="P5" s="89" t="inlineStr">
        <is>
          <t>No</t>
        </is>
      </c>
      <c r="Q5" s="88" t="inlineStr">
        <is>
          <t>None — MBBS then NEET-PG surgical branch</t>
        </is>
      </c>
      <c r="R5" s="88" t="inlineStr">
        <is>
          <t>MBBS only</t>
        </is>
      </c>
    </row>
    <row r="6" ht="30" customHeight="1" s="63">
      <c r="A6" s="76" t="n">
        <v>3</v>
      </c>
      <c r="B6" s="77" t="inlineStr">
        <is>
          <t>Dentist</t>
        </is>
      </c>
      <c r="C6" s="78" t="inlineStr">
        <is>
          <t>Medicine</t>
        </is>
      </c>
      <c r="D6" s="76" t="n">
        <v>80</v>
      </c>
      <c r="E6" s="76" t="n">
        <v>75</v>
      </c>
      <c r="F6" s="76" t="n">
        <v>75</v>
      </c>
      <c r="G6" s="76" t="n">
        <v>70</v>
      </c>
      <c r="H6" s="76" t="n">
        <v>75</v>
      </c>
      <c r="I6" s="76">
        <f>ABS('Student Calculator'!C30-D6)</f>
        <v/>
      </c>
      <c r="J6" s="76">
        <f>ABS('Student Calculator'!D30-E6)</f>
        <v/>
      </c>
      <c r="K6" s="76">
        <f>ABS('Student Calculator'!E30-F6)</f>
        <v/>
      </c>
      <c r="L6" s="76">
        <f>ABS('Student Calculator'!F30-G6)</f>
        <v/>
      </c>
      <c r="M6" s="79">
        <f>ROUND(MAX(0, 100 - (I6*0.25 + J6*0.2 + K6*0.25 + L6*0.2)), 1)</f>
        <v/>
      </c>
      <c r="N6" s="80">
        <f>IF(M6&gt;=72,"🟢 BEST FIT",IF(M6&gt;=52,"🟡 CONSIDER","🔴 MISMATCH"))</f>
        <v/>
      </c>
      <c r="O6" s="81" t="inlineStr">
        <is>
          <t>BDS (via NEET-UG)</t>
        </is>
      </c>
      <c r="P6" s="82" t="inlineStr">
        <is>
          <t>No</t>
        </is>
      </c>
      <c r="Q6" s="81" t="inlineStr">
        <is>
          <t>None — BDS is mandatory for dental practice</t>
        </is>
      </c>
      <c r="R6" s="81" t="inlineStr">
        <is>
          <t>Class 12 PCB only</t>
        </is>
      </c>
    </row>
    <row r="7" ht="30" customHeight="1" s="63">
      <c r="A7" s="83" t="n">
        <v>4</v>
      </c>
      <c r="B7" s="84" t="inlineStr">
        <is>
          <t>Pharmacist</t>
        </is>
      </c>
      <c r="C7" s="85" t="inlineStr">
        <is>
          <t>Medicine</t>
        </is>
      </c>
      <c r="D7" s="83" t="n">
        <v>70</v>
      </c>
      <c r="E7" s="83" t="n">
        <v>80</v>
      </c>
      <c r="F7" s="83" t="n">
        <v>70</v>
      </c>
      <c r="G7" s="83" t="n">
        <v>65</v>
      </c>
      <c r="H7" s="83" t="n">
        <v>75</v>
      </c>
      <c r="I7" s="83">
        <f>ABS('Student Calculator'!C30-D7)</f>
        <v/>
      </c>
      <c r="J7" s="83">
        <f>ABS('Student Calculator'!D30-E7)</f>
        <v/>
      </c>
      <c r="K7" s="83">
        <f>ABS('Student Calculator'!E30-F7)</f>
        <v/>
      </c>
      <c r="L7" s="83">
        <f>ABS('Student Calculator'!F30-G7)</f>
        <v/>
      </c>
      <c r="M7" s="86">
        <f>ROUND(MAX(0, 100 - (I7*0.25 + J7*0.2 + K7*0.25 + L7*0.2)), 1)</f>
        <v/>
      </c>
      <c r="N7" s="87">
        <f>IF(M7&gt;=72,"🟢 BEST FIT",IF(M7&gt;=52,"🟡 CONSIDER","🔴 MISMATCH"))</f>
        <v/>
      </c>
      <c r="O7" s="88" t="inlineStr">
        <is>
          <t>B.Pharm / D.Pharm</t>
        </is>
      </c>
      <c r="P7" s="89" t="inlineStr">
        <is>
          <t>No</t>
        </is>
      </c>
      <c r="Q7" s="88" t="inlineStr">
        <is>
          <t>D.Pharm (2 yr) is the shorter licensure route; lateral entry into B.Pharm 2nd yr</t>
        </is>
      </c>
      <c r="R7" s="88" t="inlineStr">
        <is>
          <t>Class 12 PCB/PCM; D.Pharm holders</t>
        </is>
      </c>
    </row>
    <row r="8" ht="30" customHeight="1" s="63">
      <c r="A8" s="76" t="n">
        <v>5</v>
      </c>
      <c r="B8" s="77" t="inlineStr">
        <is>
          <t>Biomedical Researcher</t>
        </is>
      </c>
      <c r="C8" s="78" t="inlineStr">
        <is>
          <t>Research</t>
        </is>
      </c>
      <c r="D8" s="76" t="n">
        <v>60</v>
      </c>
      <c r="E8" s="76" t="n">
        <v>90</v>
      </c>
      <c r="F8" s="76" t="n">
        <v>80</v>
      </c>
      <c r="G8" s="76" t="n">
        <v>65</v>
      </c>
      <c r="H8" s="76" t="n">
        <v>80</v>
      </c>
      <c r="I8" s="76">
        <f>ABS('Student Calculator'!C30-D8)</f>
        <v/>
      </c>
      <c r="J8" s="76">
        <f>ABS('Student Calculator'!D30-E8)</f>
        <v/>
      </c>
      <c r="K8" s="76">
        <f>ABS('Student Calculator'!E30-F8)</f>
        <v/>
      </c>
      <c r="L8" s="76">
        <f>ABS('Student Calculator'!F30-G8)</f>
        <v/>
      </c>
      <c r="M8" s="79">
        <f>ROUND(MAX(0, 100 - (I8*0.25 + J8*0.2 + K8*0.25 + L8*0.2)), 1)</f>
        <v/>
      </c>
      <c r="N8" s="80">
        <f>IF(M8&gt;=72,"🟢 BEST FIT",IF(M8&gt;=52,"🟡 CONSIDER","🔴 MISMATCH"))</f>
        <v/>
      </c>
      <c r="O8" s="81" t="inlineStr">
        <is>
          <t>B.Sc/B.Tech Biotech → M.Sc/PhD</t>
        </is>
      </c>
      <c r="P8" s="90" t="inlineStr">
        <is>
          <t>Partly</t>
        </is>
      </c>
      <c r="Q8" s="81" t="inlineStr">
        <is>
          <t>M.Sc via CUET-PG, or PhD via CSIR-NET/GATE-BT from any life-science degree</t>
        </is>
      </c>
      <c r="R8" s="81" t="inlineStr">
        <is>
          <t>B.Sc Bio/Biotech/Zoology/Chemistry, B.Pharm, BE Biomedical</t>
        </is>
      </c>
    </row>
    <row r="9" ht="30" customHeight="1" s="63">
      <c r="A9" s="83" t="n">
        <v>6</v>
      </c>
      <c r="B9" s="84" t="inlineStr">
        <is>
          <t>Geneticist</t>
        </is>
      </c>
      <c r="C9" s="85" t="inlineStr">
        <is>
          <t>Research</t>
        </is>
      </c>
      <c r="D9" s="83" t="n">
        <v>55</v>
      </c>
      <c r="E9" s="83" t="n">
        <v>90</v>
      </c>
      <c r="F9" s="83" t="n">
        <v>80</v>
      </c>
      <c r="G9" s="83" t="n">
        <v>60</v>
      </c>
      <c r="H9" s="83" t="n">
        <v>80</v>
      </c>
      <c r="I9" s="83">
        <f>ABS('Student Calculator'!C30-D9)</f>
        <v/>
      </c>
      <c r="J9" s="83">
        <f>ABS('Student Calculator'!D30-E9)</f>
        <v/>
      </c>
      <c r="K9" s="83">
        <f>ABS('Student Calculator'!E30-F9)</f>
        <v/>
      </c>
      <c r="L9" s="83">
        <f>ABS('Student Calculator'!F30-G9)</f>
        <v/>
      </c>
      <c r="M9" s="86">
        <f>ROUND(MAX(0, 100 - (I9*0.25 + J9*0.2 + K9*0.25 + L9*0.2)), 1)</f>
        <v/>
      </c>
      <c r="N9" s="87">
        <f>IF(M9&gt;=72,"🟢 BEST FIT",IF(M9&gt;=52,"🟡 CONSIDER","🔴 MISMATCH"))</f>
        <v/>
      </c>
      <c r="O9" s="88" t="inlineStr">
        <is>
          <t>B.Sc Genetics/Biotech → M.Sc/PhD</t>
        </is>
      </c>
      <c r="P9" s="91" t="inlineStr">
        <is>
          <t>Partly</t>
        </is>
      </c>
      <c r="Q9" s="88" t="inlineStr">
        <is>
          <t>M.Sc Genetics via CUET-PG; PhD via CSIR-NET JRF</t>
        </is>
      </c>
      <c r="R9" s="88" t="inlineStr">
        <is>
          <t>B.Sc Bio/Biotech/Microbiology/Biochemistry, B.Pharm, MBBS</t>
        </is>
      </c>
    </row>
    <row r="10" ht="30" customHeight="1" s="63">
      <c r="A10" s="76" t="n">
        <v>7</v>
      </c>
      <c r="B10" s="77" t="inlineStr">
        <is>
          <t>Microbiologist</t>
        </is>
      </c>
      <c r="C10" s="78" t="inlineStr">
        <is>
          <t>Research</t>
        </is>
      </c>
      <c r="D10" s="76" t="n">
        <v>55</v>
      </c>
      <c r="E10" s="76" t="n">
        <v>85</v>
      </c>
      <c r="F10" s="76" t="n">
        <v>80</v>
      </c>
      <c r="G10" s="76" t="n">
        <v>60</v>
      </c>
      <c r="H10" s="76" t="n">
        <v>75</v>
      </c>
      <c r="I10" s="76">
        <f>ABS('Student Calculator'!C30-D10)</f>
        <v/>
      </c>
      <c r="J10" s="76">
        <f>ABS('Student Calculator'!D30-E10)</f>
        <v/>
      </c>
      <c r="K10" s="76">
        <f>ABS('Student Calculator'!E30-F10)</f>
        <v/>
      </c>
      <c r="L10" s="76">
        <f>ABS('Student Calculator'!F30-G10)</f>
        <v/>
      </c>
      <c r="M10" s="79">
        <f>ROUND(MAX(0, 100 - (I10*0.25 + J10*0.2 + K10*0.25 + L10*0.2)), 1)</f>
        <v/>
      </c>
      <c r="N10" s="80">
        <f>IF(M10&gt;=72,"🟢 BEST FIT",IF(M10&gt;=52,"🟡 CONSIDER","🔴 MISMATCH"))</f>
        <v/>
      </c>
      <c r="O10" s="81" t="inlineStr">
        <is>
          <t>B.Sc Microbiology → M.Sc</t>
        </is>
      </c>
      <c r="P10" s="90" t="inlineStr">
        <is>
          <t>Partly</t>
        </is>
      </c>
      <c r="Q10" s="81" t="inlineStr">
        <is>
          <t>M.Sc Microbiology open to any B.Sc life-science graduate</t>
        </is>
      </c>
      <c r="R10" s="81" t="inlineStr">
        <is>
          <t>B.Sc Bio/Biotech/Biochem/Botany/Zoology</t>
        </is>
      </c>
    </row>
    <row r="11" ht="30" customHeight="1" s="63">
      <c r="A11" s="83" t="n">
        <v>8</v>
      </c>
      <c r="B11" s="84" t="inlineStr">
        <is>
          <t>Biochemist</t>
        </is>
      </c>
      <c r="C11" s="85" t="inlineStr">
        <is>
          <t>Research</t>
        </is>
      </c>
      <c r="D11" s="83" t="n">
        <v>55</v>
      </c>
      <c r="E11" s="83" t="n">
        <v>85</v>
      </c>
      <c r="F11" s="83" t="n">
        <v>80</v>
      </c>
      <c r="G11" s="83" t="n">
        <v>60</v>
      </c>
      <c r="H11" s="83" t="n">
        <v>75</v>
      </c>
      <c r="I11" s="83">
        <f>ABS('Student Calculator'!C30-D11)</f>
        <v/>
      </c>
      <c r="J11" s="83">
        <f>ABS('Student Calculator'!D30-E11)</f>
        <v/>
      </c>
      <c r="K11" s="83">
        <f>ABS('Student Calculator'!E30-F11)</f>
        <v/>
      </c>
      <c r="L11" s="83">
        <f>ABS('Student Calculator'!F30-G11)</f>
        <v/>
      </c>
      <c r="M11" s="86">
        <f>ROUND(MAX(0, 100 - (I11*0.25 + J11*0.2 + K11*0.25 + L11*0.2)), 1)</f>
        <v/>
      </c>
      <c r="N11" s="87">
        <f>IF(M11&gt;=72,"🟢 BEST FIT",IF(M11&gt;=52,"🟡 CONSIDER","🔴 MISMATCH"))</f>
        <v/>
      </c>
      <c r="O11" s="88" t="inlineStr">
        <is>
          <t>B.Sc Biochemistry → M.Sc</t>
        </is>
      </c>
      <c r="P11" s="91" t="inlineStr">
        <is>
          <t>Partly</t>
        </is>
      </c>
      <c r="Q11" s="88" t="inlineStr">
        <is>
          <t>M.Sc via CUET-PG from allied B.Sc streams</t>
        </is>
      </c>
      <c r="R11" s="88" t="inlineStr">
        <is>
          <t>B.Sc Chemistry/Bio/Biotech, B.Pharm</t>
        </is>
      </c>
    </row>
    <row r="12" ht="30" customHeight="1" s="63">
      <c r="A12" s="76" t="n">
        <v>9</v>
      </c>
      <c r="B12" s="77" t="inlineStr">
        <is>
          <t>Neuroscientist</t>
        </is>
      </c>
      <c r="C12" s="78" t="inlineStr">
        <is>
          <t>Research</t>
        </is>
      </c>
      <c r="D12" s="76" t="n">
        <v>55</v>
      </c>
      <c r="E12" s="76" t="n">
        <v>90</v>
      </c>
      <c r="F12" s="76" t="n">
        <v>85</v>
      </c>
      <c r="G12" s="76" t="n">
        <v>60</v>
      </c>
      <c r="H12" s="76" t="n">
        <v>80</v>
      </c>
      <c r="I12" s="76">
        <f>ABS('Student Calculator'!C30-D12)</f>
        <v/>
      </c>
      <c r="J12" s="76">
        <f>ABS('Student Calculator'!D30-E12)</f>
        <v/>
      </c>
      <c r="K12" s="76">
        <f>ABS('Student Calculator'!E30-F12)</f>
        <v/>
      </c>
      <c r="L12" s="76">
        <f>ABS('Student Calculator'!F30-G12)</f>
        <v/>
      </c>
      <c r="M12" s="79">
        <f>ROUND(MAX(0, 100 - (I12*0.25 + J12*0.2 + K12*0.25 + L12*0.2)), 1)</f>
        <v/>
      </c>
      <c r="N12" s="80">
        <f>IF(M12&gt;=72,"🟢 BEST FIT",IF(M12&gt;=52,"🟡 CONSIDER","🔴 MISMATCH"))</f>
        <v/>
      </c>
      <c r="O12" s="81" t="inlineStr">
        <is>
          <t>B.Sc/B.Tech → M.Sc/PhD Neuroscience</t>
        </is>
      </c>
      <c r="P12" s="90" t="inlineStr">
        <is>
          <t>Partly</t>
        </is>
      </c>
      <c r="Q12" s="81" t="inlineStr">
        <is>
          <t>PhD at NBRC/IISc/JNU via entrance — open to bio, psychology, physics and CS backgrounds</t>
        </is>
      </c>
      <c r="R12" s="81" t="inlineStr">
        <is>
          <t>B.Sc Bio, BA/B.Sc Psychology, BE CS/Biomedical, MBBS</t>
        </is>
      </c>
    </row>
    <row r="13" ht="30" customHeight="1" s="63">
      <c r="A13" s="83" t="n">
        <v>10</v>
      </c>
      <c r="B13" s="84" t="inlineStr">
        <is>
          <t>Clinical Psychologist</t>
        </is>
      </c>
      <c r="C13" s="85" t="inlineStr">
        <is>
          <t>Psychology</t>
        </is>
      </c>
      <c r="D13" s="83" t="n">
        <v>45</v>
      </c>
      <c r="E13" s="83" t="n">
        <v>70</v>
      </c>
      <c r="F13" s="83" t="n">
        <v>85</v>
      </c>
      <c r="G13" s="83" t="n">
        <v>75</v>
      </c>
      <c r="H13" s="83" t="n">
        <v>80</v>
      </c>
      <c r="I13" s="83">
        <f>ABS('Student Calculator'!C30-D13)</f>
        <v/>
      </c>
      <c r="J13" s="83">
        <f>ABS('Student Calculator'!D30-E13)</f>
        <v/>
      </c>
      <c r="K13" s="83">
        <f>ABS('Student Calculator'!E30-F13)</f>
        <v/>
      </c>
      <c r="L13" s="83">
        <f>ABS('Student Calculator'!F30-G13)</f>
        <v/>
      </c>
      <c r="M13" s="86">
        <f>ROUND(MAX(0, 100 - (I13*0.25 + J13*0.2 + K13*0.25 + L13*0.2)), 1)</f>
        <v/>
      </c>
      <c r="N13" s="87">
        <f>IF(M13&gt;=72,"🟢 BEST FIT",IF(M13&gt;=52,"🟡 CONSIDER","🔴 MISMATCH"))</f>
        <v/>
      </c>
      <c r="O13" s="88" t="inlineStr">
        <is>
          <t>BA/B.Sc Psychology → RCI M.Phil/PsyD</t>
        </is>
      </c>
      <c r="P13" s="91" t="inlineStr">
        <is>
          <t>Partly</t>
        </is>
      </c>
      <c r="Q13" s="88" t="inlineStr">
        <is>
          <t>MA Psychology is open to any graduate at most universities, then RCI-approved M.Phil Clinical Psychology</t>
        </is>
      </c>
      <c r="R13" s="88" t="inlineStr">
        <is>
          <t>Any degree → MA Psychology → RCI M.Phil</t>
        </is>
      </c>
    </row>
    <row r="14" ht="30" customHeight="1" s="63">
      <c r="A14" s="76" t="n">
        <v>11</v>
      </c>
      <c r="B14" s="77" t="inlineStr">
        <is>
          <t>Psychiatrist</t>
        </is>
      </c>
      <c r="C14" s="78" t="inlineStr">
        <is>
          <t>Psychology</t>
        </is>
      </c>
      <c r="D14" s="76" t="n">
        <v>50</v>
      </c>
      <c r="E14" s="76" t="n">
        <v>75</v>
      </c>
      <c r="F14" s="76" t="n">
        <v>85</v>
      </c>
      <c r="G14" s="76" t="n">
        <v>70</v>
      </c>
      <c r="H14" s="76" t="n">
        <v>80</v>
      </c>
      <c r="I14" s="76">
        <f>ABS('Student Calculator'!C30-D14)</f>
        <v/>
      </c>
      <c r="J14" s="76">
        <f>ABS('Student Calculator'!D30-E14)</f>
        <v/>
      </c>
      <c r="K14" s="76">
        <f>ABS('Student Calculator'!E30-F14)</f>
        <v/>
      </c>
      <c r="L14" s="76">
        <f>ABS('Student Calculator'!F30-G14)</f>
        <v/>
      </c>
      <c r="M14" s="79">
        <f>ROUND(MAX(0, 100 - (I14*0.25 + J14*0.2 + K14*0.25 + L14*0.2)), 1)</f>
        <v/>
      </c>
      <c r="N14" s="80">
        <f>IF(M14&gt;=72,"🟢 BEST FIT",IF(M14&gt;=52,"🟡 CONSIDER","🔴 MISMATCH"))</f>
        <v/>
      </c>
      <c r="O14" s="81" t="inlineStr">
        <is>
          <t>MBBS → MD Psychiatry</t>
        </is>
      </c>
      <c r="P14" s="82" t="inlineStr">
        <is>
          <t>No</t>
        </is>
      </c>
      <c r="Q14" s="81" t="inlineStr">
        <is>
          <t>None — MBBS then NEET-PG for MD Psychiatry</t>
        </is>
      </c>
      <c r="R14" s="81" t="inlineStr">
        <is>
          <t>MBBS only</t>
        </is>
      </c>
    </row>
    <row r="15" ht="30" customHeight="1" s="63">
      <c r="A15" s="83" t="n">
        <v>12</v>
      </c>
      <c r="B15" s="84" t="inlineStr">
        <is>
          <t>Physiotherapist</t>
        </is>
      </c>
      <c r="C15" s="85" t="inlineStr">
        <is>
          <t>Medicine</t>
        </is>
      </c>
      <c r="D15" s="83" t="n">
        <v>80</v>
      </c>
      <c r="E15" s="83" t="n">
        <v>65</v>
      </c>
      <c r="F15" s="83" t="n">
        <v>75</v>
      </c>
      <c r="G15" s="83" t="n">
        <v>75</v>
      </c>
      <c r="H15" s="83" t="n">
        <v>70</v>
      </c>
      <c r="I15" s="83">
        <f>ABS('Student Calculator'!C30-D15)</f>
        <v/>
      </c>
      <c r="J15" s="83">
        <f>ABS('Student Calculator'!D30-E15)</f>
        <v/>
      </c>
      <c r="K15" s="83">
        <f>ABS('Student Calculator'!E30-F15)</f>
        <v/>
      </c>
      <c r="L15" s="83">
        <f>ABS('Student Calculator'!F30-G15)</f>
        <v/>
      </c>
      <c r="M15" s="86">
        <f>ROUND(MAX(0, 100 - (I15*0.25 + J15*0.2 + K15*0.25 + L15*0.2)), 1)</f>
        <v/>
      </c>
      <c r="N15" s="87">
        <f>IF(M15&gt;=72,"🟢 BEST FIT",IF(M15&gt;=52,"🟡 CONSIDER","🔴 MISMATCH"))</f>
        <v/>
      </c>
      <c r="O15" s="88" t="inlineStr">
        <is>
          <t>BPT (4.5 yr incl. internship)</t>
        </is>
      </c>
      <c r="P15" s="89" t="inlineStr">
        <is>
          <t>No</t>
        </is>
      </c>
      <c r="Q15" s="88" t="inlineStr">
        <is>
          <t>None — BPT is required for state physiotherapy council registration</t>
        </is>
      </c>
      <c r="R15" s="88" t="inlineStr">
        <is>
          <t>Class 12 PCB only</t>
        </is>
      </c>
    </row>
    <row r="16" ht="30" customHeight="1" s="63">
      <c r="A16" s="76" t="n">
        <v>13</v>
      </c>
      <c r="B16" s="77" t="inlineStr">
        <is>
          <t>Occupational Therapist</t>
        </is>
      </c>
      <c r="C16" s="78" t="inlineStr">
        <is>
          <t>Medicine</t>
        </is>
      </c>
      <c r="D16" s="76" t="n">
        <v>75</v>
      </c>
      <c r="E16" s="76" t="n">
        <v>65</v>
      </c>
      <c r="F16" s="76" t="n">
        <v>75</v>
      </c>
      <c r="G16" s="76" t="n">
        <v>75</v>
      </c>
      <c r="H16" s="76" t="n">
        <v>70</v>
      </c>
      <c r="I16" s="76">
        <f>ABS('Student Calculator'!C30-D16)</f>
        <v/>
      </c>
      <c r="J16" s="76">
        <f>ABS('Student Calculator'!D30-E16)</f>
        <v/>
      </c>
      <c r="K16" s="76">
        <f>ABS('Student Calculator'!E30-F16)</f>
        <v/>
      </c>
      <c r="L16" s="76">
        <f>ABS('Student Calculator'!F30-G16)</f>
        <v/>
      </c>
      <c r="M16" s="79">
        <f>ROUND(MAX(0, 100 - (I16*0.25 + J16*0.2 + K16*0.25 + L16*0.2)), 1)</f>
        <v/>
      </c>
      <c r="N16" s="80">
        <f>IF(M16&gt;=72,"🟢 BEST FIT",IF(M16&gt;=52,"🟡 CONSIDER","🔴 MISMATCH"))</f>
        <v/>
      </c>
      <c r="O16" s="81" t="inlineStr">
        <is>
          <t>BOT (4.5 yr incl. internship)</t>
        </is>
      </c>
      <c r="P16" s="82" t="inlineStr">
        <is>
          <t>No</t>
        </is>
      </c>
      <c r="Q16" s="81" t="inlineStr">
        <is>
          <t>None — BOT is required for AIOTA registration</t>
        </is>
      </c>
      <c r="R16" s="81" t="inlineStr">
        <is>
          <t>Class 12 PCB only</t>
        </is>
      </c>
    </row>
    <row r="17" ht="30" customHeight="1" s="63">
      <c r="A17" s="83" t="n">
        <v>14</v>
      </c>
      <c r="B17" s="84" t="inlineStr">
        <is>
          <t>Nutritionist/Dietitian</t>
        </is>
      </c>
      <c r="C17" s="85" t="inlineStr">
        <is>
          <t>Medicine</t>
        </is>
      </c>
      <c r="D17" s="83" t="n">
        <v>65</v>
      </c>
      <c r="E17" s="83" t="n">
        <v>70</v>
      </c>
      <c r="F17" s="83" t="n">
        <v>75</v>
      </c>
      <c r="G17" s="83" t="n">
        <v>65</v>
      </c>
      <c r="H17" s="83" t="n">
        <v>70</v>
      </c>
      <c r="I17" s="83">
        <f>ABS('Student Calculator'!C30-D17)</f>
        <v/>
      </c>
      <c r="J17" s="83">
        <f>ABS('Student Calculator'!D30-E17)</f>
        <v/>
      </c>
      <c r="K17" s="83">
        <f>ABS('Student Calculator'!E30-F17)</f>
        <v/>
      </c>
      <c r="L17" s="83">
        <f>ABS('Student Calculator'!F30-G17)</f>
        <v/>
      </c>
      <c r="M17" s="86">
        <f>ROUND(MAX(0, 100 - (I17*0.25 + J17*0.2 + K17*0.25 + L17*0.2)), 1)</f>
        <v/>
      </c>
      <c r="N17" s="87">
        <f>IF(M17&gt;=72,"🟢 BEST FIT",IF(M17&gt;=52,"🟡 CONSIDER","🔴 MISMATCH"))</f>
        <v/>
      </c>
      <c r="O17" s="88" t="inlineStr">
        <is>
          <t>B.Sc Nutrition/Food Science → M.Sc + RD</t>
        </is>
      </c>
      <c r="P17" s="91" t="inlineStr">
        <is>
          <t>Partly</t>
        </is>
      </c>
      <c r="Q17" s="88" t="inlineStr">
        <is>
          <t>PG Diploma in Dietetics; Registered Dietitian exam via IDA after M.Sc</t>
        </is>
      </c>
      <c r="R17" s="88" t="inlineStr">
        <is>
          <t>B.Sc Bio/Food Tech/Home Science, B.Pharm, BPT, nursing</t>
        </is>
      </c>
    </row>
    <row r="18" ht="30" customHeight="1" s="63">
      <c r="A18" s="76" t="n">
        <v>15</v>
      </c>
      <c r="B18" s="77" t="inlineStr">
        <is>
          <t>Veterinarian</t>
        </is>
      </c>
      <c r="C18" s="78" t="inlineStr">
        <is>
          <t>Medicine</t>
        </is>
      </c>
      <c r="D18" s="76" t="n">
        <v>80</v>
      </c>
      <c r="E18" s="76" t="n">
        <v>70</v>
      </c>
      <c r="F18" s="76" t="n">
        <v>75</v>
      </c>
      <c r="G18" s="76" t="n">
        <v>65</v>
      </c>
      <c r="H18" s="76" t="n">
        <v>70</v>
      </c>
      <c r="I18" s="76">
        <f>ABS('Student Calculator'!C30-D18)</f>
        <v/>
      </c>
      <c r="J18" s="76">
        <f>ABS('Student Calculator'!D30-E18)</f>
        <v/>
      </c>
      <c r="K18" s="76">
        <f>ABS('Student Calculator'!E30-F18)</f>
        <v/>
      </c>
      <c r="L18" s="76">
        <f>ABS('Student Calculator'!F30-G18)</f>
        <v/>
      </c>
      <c r="M18" s="79">
        <f>ROUND(MAX(0, 100 - (I18*0.25 + J18*0.2 + K18*0.25 + L18*0.2)), 1)</f>
        <v/>
      </c>
      <c r="N18" s="80">
        <f>IF(M18&gt;=72,"🟢 BEST FIT",IF(M18&gt;=52,"🟡 CONSIDER","🔴 MISMATCH"))</f>
        <v/>
      </c>
      <c r="O18" s="81" t="inlineStr">
        <is>
          <t>B.V.Sc &amp; AH (via NEET-UG)</t>
        </is>
      </c>
      <c r="P18" s="82" t="inlineStr">
        <is>
          <t>No</t>
        </is>
      </c>
      <c r="Q18" s="81" t="inlineStr">
        <is>
          <t>None — B.V.Sc is mandatory for VCI registration</t>
        </is>
      </c>
      <c r="R18" s="81" t="inlineStr">
        <is>
          <t>Class 12 PCB only</t>
        </is>
      </c>
    </row>
    <row r="19" ht="30" customHeight="1" s="63">
      <c r="A19" s="83" t="n">
        <v>16</v>
      </c>
      <c r="B19" s="84" t="inlineStr">
        <is>
          <t>Environmental Scientist</t>
        </is>
      </c>
      <c r="C19" s="85" t="inlineStr">
        <is>
          <t>Science</t>
        </is>
      </c>
      <c r="D19" s="83" t="n">
        <v>60</v>
      </c>
      <c r="E19" s="83" t="n">
        <v>80</v>
      </c>
      <c r="F19" s="83" t="n">
        <v>80</v>
      </c>
      <c r="G19" s="83" t="n">
        <v>70</v>
      </c>
      <c r="H19" s="83" t="n">
        <v>70</v>
      </c>
      <c r="I19" s="83">
        <f>ABS('Student Calculator'!C30-D19)</f>
        <v/>
      </c>
      <c r="J19" s="83">
        <f>ABS('Student Calculator'!D30-E19)</f>
        <v/>
      </c>
      <c r="K19" s="83">
        <f>ABS('Student Calculator'!E30-F19)</f>
        <v/>
      </c>
      <c r="L19" s="83">
        <f>ABS('Student Calculator'!F30-G19)</f>
        <v/>
      </c>
      <c r="M19" s="86">
        <f>ROUND(MAX(0, 100 - (I19*0.25 + J19*0.2 + K19*0.25 + L19*0.2)), 1)</f>
        <v/>
      </c>
      <c r="N19" s="87">
        <f>IF(M19&gt;=72,"🟢 BEST FIT",IF(M19&gt;=52,"🟡 CONSIDER","🔴 MISMATCH"))</f>
        <v/>
      </c>
      <c r="O19" s="88" t="inlineStr">
        <is>
          <t>B.Sc/B.Tech Environmental Science</t>
        </is>
      </c>
      <c r="P19" s="91" t="inlineStr">
        <is>
          <t>Partly</t>
        </is>
      </c>
      <c r="Q19" s="88" t="inlineStr">
        <is>
          <t>M.Sc Env. Science open to most B.Sc/B.Tech grads; PG Diploma in EIA</t>
        </is>
      </c>
      <c r="R19" s="88" t="inlineStr">
        <is>
          <t>B.Sc Chem/Bio/Geology, BE Civil/Chemical, B.Arch</t>
        </is>
      </c>
    </row>
    <row r="20" ht="30" customHeight="1" s="63">
      <c r="A20" s="76" t="n">
        <v>17</v>
      </c>
      <c r="B20" s="77" t="inlineStr">
        <is>
          <t>Marine Biologist</t>
        </is>
      </c>
      <c r="C20" s="78" t="inlineStr">
        <is>
          <t>Science</t>
        </is>
      </c>
      <c r="D20" s="76" t="n">
        <v>65</v>
      </c>
      <c r="E20" s="76" t="n">
        <v>80</v>
      </c>
      <c r="F20" s="76" t="n">
        <v>80</v>
      </c>
      <c r="G20" s="76" t="n">
        <v>70</v>
      </c>
      <c r="H20" s="76" t="n">
        <v>65</v>
      </c>
      <c r="I20" s="76">
        <f>ABS('Student Calculator'!C30-D20)</f>
        <v/>
      </c>
      <c r="J20" s="76">
        <f>ABS('Student Calculator'!D30-E20)</f>
        <v/>
      </c>
      <c r="K20" s="76">
        <f>ABS('Student Calculator'!E30-F20)</f>
        <v/>
      </c>
      <c r="L20" s="76">
        <f>ABS('Student Calculator'!F30-G20)</f>
        <v/>
      </c>
      <c r="M20" s="79">
        <f>ROUND(MAX(0, 100 - (I20*0.25 + J20*0.2 + K20*0.25 + L20*0.2)), 1)</f>
        <v/>
      </c>
      <c r="N20" s="80">
        <f>IF(M20&gt;=72,"🟢 BEST FIT",IF(M20&gt;=52,"🟡 CONSIDER","🔴 MISMATCH"))</f>
        <v/>
      </c>
      <c r="O20" s="81" t="inlineStr">
        <is>
          <t>B.Sc Marine Biology/Zoology → M.Sc</t>
        </is>
      </c>
      <c r="P20" s="90" t="inlineStr">
        <is>
          <t>Partly</t>
        </is>
      </c>
      <c r="Q20" s="81" t="inlineStr">
        <is>
          <t>M.Sc Marine Biology via CUET-PG from any life-science degree</t>
        </is>
      </c>
      <c r="R20" s="81" t="inlineStr">
        <is>
          <t>B.Sc Zoology/Bio/Fisheries/Env Science</t>
        </is>
      </c>
    </row>
    <row r="21" ht="30" customHeight="1" s="63">
      <c r="A21" s="83" t="n">
        <v>18</v>
      </c>
      <c r="B21" s="84" t="inlineStr">
        <is>
          <t>Astronomer/Astrophysicist</t>
        </is>
      </c>
      <c r="C21" s="85" t="inlineStr">
        <is>
          <t>Science</t>
        </is>
      </c>
      <c r="D21" s="83" t="n">
        <v>40</v>
      </c>
      <c r="E21" s="83" t="n">
        <v>95</v>
      </c>
      <c r="F21" s="83" t="n">
        <v>85</v>
      </c>
      <c r="G21" s="83" t="n">
        <v>55</v>
      </c>
      <c r="H21" s="83" t="n">
        <v>80</v>
      </c>
      <c r="I21" s="83">
        <f>ABS('Student Calculator'!C30-D21)</f>
        <v/>
      </c>
      <c r="J21" s="83">
        <f>ABS('Student Calculator'!D30-E21)</f>
        <v/>
      </c>
      <c r="K21" s="83">
        <f>ABS('Student Calculator'!E30-F21)</f>
        <v/>
      </c>
      <c r="L21" s="83">
        <f>ABS('Student Calculator'!F30-G21)</f>
        <v/>
      </c>
      <c r="M21" s="86">
        <f>ROUND(MAX(0, 100 - (I21*0.25 + J21*0.2 + K21*0.25 + L21*0.2)), 1)</f>
        <v/>
      </c>
      <c r="N21" s="87">
        <f>IF(M21&gt;=72,"🟢 BEST FIT",IF(M21&gt;=52,"🟡 CONSIDER","🔴 MISMATCH"))</f>
        <v/>
      </c>
      <c r="O21" s="88" t="inlineStr">
        <is>
          <t>B.Sc/B.Tech Physics → M.Sc → PhD</t>
        </is>
      </c>
      <c r="P21" s="89" t="inlineStr">
        <is>
          <t>No</t>
        </is>
      </c>
      <c r="Q21" s="88" t="inlineStr">
        <is>
          <t>JEST/GATE-PH → PhD at IUCAA, IIA, TIFR, ARIES</t>
        </is>
      </c>
      <c r="R21" s="88" t="inlineStr">
        <is>
          <t>B.Sc Physics; BE with strong physics/maths via JEST</t>
        </is>
      </c>
    </row>
    <row r="22" ht="30" customHeight="1" s="63">
      <c r="A22" s="76" t="n">
        <v>19</v>
      </c>
      <c r="B22" s="77" t="inlineStr">
        <is>
          <t>Nuclear Engineer</t>
        </is>
      </c>
      <c r="C22" s="78" t="inlineStr">
        <is>
          <t>Engineering</t>
        </is>
      </c>
      <c r="D22" s="76" t="n">
        <v>75</v>
      </c>
      <c r="E22" s="76" t="n">
        <v>85</v>
      </c>
      <c r="F22" s="76" t="n">
        <v>70</v>
      </c>
      <c r="G22" s="76" t="n">
        <v>55</v>
      </c>
      <c r="H22" s="76" t="n">
        <v>75</v>
      </c>
      <c r="I22" s="76">
        <f>ABS('Student Calculator'!C30-D22)</f>
        <v/>
      </c>
      <c r="J22" s="76">
        <f>ABS('Student Calculator'!D30-E22)</f>
        <v/>
      </c>
      <c r="K22" s="76">
        <f>ABS('Student Calculator'!E30-F22)</f>
        <v/>
      </c>
      <c r="L22" s="76">
        <f>ABS('Student Calculator'!F30-G22)</f>
        <v/>
      </c>
      <c r="M22" s="79">
        <f>ROUND(MAX(0, 100 - (I22*0.25 + J22*0.2 + K22*0.25 + L22*0.2)), 1)</f>
        <v/>
      </c>
      <c r="N22" s="80">
        <f>IF(M22&gt;=72,"🟢 BEST FIT",IF(M22&gt;=52,"🟡 CONSIDER","🔴 MISMATCH"))</f>
        <v/>
      </c>
      <c r="O22" s="81" t="inlineStr">
        <is>
          <t>B.Tech Nuclear/Mechanical → BARC OCES</t>
        </is>
      </c>
      <c r="P22" s="90" t="inlineStr">
        <is>
          <t>Partly</t>
        </is>
      </c>
      <c r="Q22" s="81" t="inlineStr">
        <is>
          <t>BARC OCES/DGFS accepts Mechanical, Chemical, Electrical, Metallurgy and M.Sc Physics</t>
        </is>
      </c>
      <c r="R22" s="81" t="inlineStr">
        <is>
          <t>BE Mech/Chem/Elec/Metallurgy, M.Sc Physics/Chemistry</t>
        </is>
      </c>
    </row>
    <row r="23" ht="30" customHeight="1" s="63">
      <c r="A23" s="83" t="n">
        <v>20</v>
      </c>
      <c r="B23" s="84" t="inlineStr">
        <is>
          <t>Aerospace Engineer</t>
        </is>
      </c>
      <c r="C23" s="85" t="inlineStr">
        <is>
          <t>Engineering</t>
        </is>
      </c>
      <c r="D23" s="83" t="n">
        <v>80</v>
      </c>
      <c r="E23" s="83" t="n">
        <v>85</v>
      </c>
      <c r="F23" s="83" t="n">
        <v>70</v>
      </c>
      <c r="G23" s="83" t="n">
        <v>60</v>
      </c>
      <c r="H23" s="83" t="n">
        <v>75</v>
      </c>
      <c r="I23" s="83">
        <f>ABS('Student Calculator'!C30-D23)</f>
        <v/>
      </c>
      <c r="J23" s="83">
        <f>ABS('Student Calculator'!D30-E23)</f>
        <v/>
      </c>
      <c r="K23" s="83">
        <f>ABS('Student Calculator'!E30-F23)</f>
        <v/>
      </c>
      <c r="L23" s="83">
        <f>ABS('Student Calculator'!F30-G23)</f>
        <v/>
      </c>
      <c r="M23" s="86">
        <f>ROUND(MAX(0, 100 - (I23*0.25 + J23*0.2 + K23*0.25 + L23*0.2)), 1)</f>
        <v/>
      </c>
      <c r="N23" s="87">
        <f>IF(M23&gt;=72,"🟢 BEST FIT",IF(M23&gt;=52,"🟡 CONSIDER","🔴 MISMATCH"))</f>
        <v/>
      </c>
      <c r="O23" s="88" t="inlineStr">
        <is>
          <t>B.Tech Aerospace/Aeronautical</t>
        </is>
      </c>
      <c r="P23" s="91" t="inlineStr">
        <is>
          <t>Partly</t>
        </is>
      </c>
      <c r="Q23" s="88" t="inlineStr">
        <is>
          <t>M.Tech Aero via GATE from Mechanical/Civil; ISRO ICRB also recruits Mech/Elec/CS</t>
        </is>
      </c>
      <c r="R23" s="88" t="inlineStr">
        <is>
          <t>BE Mech/Elec/CS/Civil</t>
        </is>
      </c>
    </row>
    <row r="24" ht="30" customHeight="1" s="63">
      <c r="A24" s="76" t="n">
        <v>21</v>
      </c>
      <c r="B24" s="77" t="inlineStr">
        <is>
          <t>Mechanical Engineer</t>
        </is>
      </c>
      <c r="C24" s="78" t="inlineStr">
        <is>
          <t>Engineering</t>
        </is>
      </c>
      <c r="D24" s="76" t="n">
        <v>85</v>
      </c>
      <c r="E24" s="76" t="n">
        <v>80</v>
      </c>
      <c r="F24" s="76" t="n">
        <v>65</v>
      </c>
      <c r="G24" s="76" t="n">
        <v>55</v>
      </c>
      <c r="H24" s="76" t="n">
        <v>75</v>
      </c>
      <c r="I24" s="76">
        <f>ABS('Student Calculator'!C30-D24)</f>
        <v/>
      </c>
      <c r="J24" s="76">
        <f>ABS('Student Calculator'!D30-E24)</f>
        <v/>
      </c>
      <c r="K24" s="76">
        <f>ABS('Student Calculator'!E30-F24)</f>
        <v/>
      </c>
      <c r="L24" s="76">
        <f>ABS('Student Calculator'!F30-G24)</f>
        <v/>
      </c>
      <c r="M24" s="79">
        <f>ROUND(MAX(0, 100 - (I24*0.25 + J24*0.2 + K24*0.25 + L24*0.2)), 1)</f>
        <v/>
      </c>
      <c r="N24" s="80">
        <f>IF(M24&gt;=72,"🟢 BEST FIT",IF(M24&gt;=52,"🟡 CONSIDER","🔴 MISMATCH"))</f>
        <v/>
      </c>
      <c r="O24" s="81" t="inlineStr">
        <is>
          <t>B.Tech Mechanical</t>
        </is>
      </c>
      <c r="P24" s="82" t="inlineStr">
        <is>
          <t>No</t>
        </is>
      </c>
      <c r="Q24" s="81" t="inlineStr">
        <is>
          <t>Diploma in Mechanical (3 yr) → lateral entry to B.Tech 2nd year</t>
        </is>
      </c>
      <c r="R24" s="81" t="inlineStr">
        <is>
          <t>Diploma Mechanical; B.Sc PCM via B.Tech lateral</t>
        </is>
      </c>
    </row>
    <row r="25" ht="30" customHeight="1" s="63">
      <c r="A25" s="83" t="n">
        <v>22</v>
      </c>
      <c r="B25" s="84" t="inlineStr">
        <is>
          <t>Civil Engineer</t>
        </is>
      </c>
      <c r="C25" s="85" t="inlineStr">
        <is>
          <t>Engineering</t>
        </is>
      </c>
      <c r="D25" s="83" t="n">
        <v>80</v>
      </c>
      <c r="E25" s="83" t="n">
        <v>75</v>
      </c>
      <c r="F25" s="83" t="n">
        <v>65</v>
      </c>
      <c r="G25" s="83" t="n">
        <v>55</v>
      </c>
      <c r="H25" s="83" t="n">
        <v>75</v>
      </c>
      <c r="I25" s="83">
        <f>ABS('Student Calculator'!C30-D25)</f>
        <v/>
      </c>
      <c r="J25" s="83">
        <f>ABS('Student Calculator'!D30-E25)</f>
        <v/>
      </c>
      <c r="K25" s="83">
        <f>ABS('Student Calculator'!E30-F25)</f>
        <v/>
      </c>
      <c r="L25" s="83">
        <f>ABS('Student Calculator'!F30-G25)</f>
        <v/>
      </c>
      <c r="M25" s="86">
        <f>ROUND(MAX(0, 100 - (I25*0.25 + J25*0.2 + K25*0.25 + L25*0.2)), 1)</f>
        <v/>
      </c>
      <c r="N25" s="87">
        <f>IF(M25&gt;=72,"🟢 BEST FIT",IF(M25&gt;=52,"🟡 CONSIDER","🔴 MISMATCH"))</f>
        <v/>
      </c>
      <c r="O25" s="88" t="inlineStr">
        <is>
          <t>B.Tech Civil</t>
        </is>
      </c>
      <c r="P25" s="89" t="inlineStr">
        <is>
          <t>No</t>
        </is>
      </c>
      <c r="Q25" s="88" t="inlineStr">
        <is>
          <t>Diploma in Civil → lateral entry B.Tech; B.Arch grads can enter via M.Tech Structural</t>
        </is>
      </c>
      <c r="R25" s="88" t="inlineStr">
        <is>
          <t>Diploma Civil, B.Arch (structural specialisation)</t>
        </is>
      </c>
    </row>
    <row r="26" ht="30" customHeight="1" s="63">
      <c r="A26" s="76" t="n">
        <v>23</v>
      </c>
      <c r="B26" s="77" t="inlineStr">
        <is>
          <t>Chemical Engineer</t>
        </is>
      </c>
      <c r="C26" s="78" t="inlineStr">
        <is>
          <t>Engineering</t>
        </is>
      </c>
      <c r="D26" s="76" t="n">
        <v>70</v>
      </c>
      <c r="E26" s="76" t="n">
        <v>85</v>
      </c>
      <c r="F26" s="76" t="n">
        <v>65</v>
      </c>
      <c r="G26" s="76" t="n">
        <v>55</v>
      </c>
      <c r="H26" s="76" t="n">
        <v>75</v>
      </c>
      <c r="I26" s="76">
        <f>ABS('Student Calculator'!C30-D26)</f>
        <v/>
      </c>
      <c r="J26" s="76">
        <f>ABS('Student Calculator'!D30-E26)</f>
        <v/>
      </c>
      <c r="K26" s="76">
        <f>ABS('Student Calculator'!E30-F26)</f>
        <v/>
      </c>
      <c r="L26" s="76">
        <f>ABS('Student Calculator'!F30-G26)</f>
        <v/>
      </c>
      <c r="M26" s="79">
        <f>ROUND(MAX(0, 100 - (I26*0.25 + J26*0.2 + K26*0.25 + L26*0.2)), 1)</f>
        <v/>
      </c>
      <c r="N26" s="80">
        <f>IF(M26&gt;=72,"🟢 BEST FIT",IF(M26&gt;=52,"🟡 CONSIDER","🔴 MISMATCH"))</f>
        <v/>
      </c>
      <c r="O26" s="81" t="inlineStr">
        <is>
          <t>B.Tech Chemical</t>
        </is>
      </c>
      <c r="P26" s="82" t="inlineStr">
        <is>
          <t>No</t>
        </is>
      </c>
      <c r="Q26" s="81" t="inlineStr">
        <is>
          <t>Diploma → lateral entry; limited M.Tech Chemical access for B.Sc Chemistry grads</t>
        </is>
      </c>
      <c r="R26" s="81" t="inlineStr">
        <is>
          <t>Diploma Chemical, allied B.Tech branches</t>
        </is>
      </c>
    </row>
    <row r="27" ht="30" customHeight="1" s="63">
      <c r="A27" s="83" t="n">
        <v>24</v>
      </c>
      <c r="B27" s="84" t="inlineStr">
        <is>
          <t>Electrical Engineer</t>
        </is>
      </c>
      <c r="C27" s="85" t="inlineStr">
        <is>
          <t>Engineering</t>
        </is>
      </c>
      <c r="D27" s="83" t="n">
        <v>80</v>
      </c>
      <c r="E27" s="83" t="n">
        <v>80</v>
      </c>
      <c r="F27" s="83" t="n">
        <v>65</v>
      </c>
      <c r="G27" s="83" t="n">
        <v>55</v>
      </c>
      <c r="H27" s="83" t="n">
        <v>75</v>
      </c>
      <c r="I27" s="83">
        <f>ABS('Student Calculator'!C30-D27)</f>
        <v/>
      </c>
      <c r="J27" s="83">
        <f>ABS('Student Calculator'!D30-E27)</f>
        <v/>
      </c>
      <c r="K27" s="83">
        <f>ABS('Student Calculator'!E30-F27)</f>
        <v/>
      </c>
      <c r="L27" s="83">
        <f>ABS('Student Calculator'!F30-G27)</f>
        <v/>
      </c>
      <c r="M27" s="86">
        <f>ROUND(MAX(0, 100 - (I27*0.25 + J27*0.2 + K27*0.25 + L27*0.2)), 1)</f>
        <v/>
      </c>
      <c r="N27" s="87">
        <f>IF(M27&gt;=72,"🟢 BEST FIT",IF(M27&gt;=52,"🟡 CONSIDER","🔴 MISMATCH"))</f>
        <v/>
      </c>
      <c r="O27" s="88" t="inlineStr">
        <is>
          <t>B.Tech Electrical</t>
        </is>
      </c>
      <c r="P27" s="89" t="inlineStr">
        <is>
          <t>No</t>
        </is>
      </c>
      <c r="Q27" s="88" t="inlineStr">
        <is>
          <t>Diploma in Electrical → lateral entry to B.Tech 2nd year</t>
        </is>
      </c>
      <c r="R27" s="88" t="inlineStr">
        <is>
          <t>Diploma Electrical/Electronics</t>
        </is>
      </c>
    </row>
    <row r="28" ht="30" customHeight="1" s="63">
      <c r="A28" s="76" t="n">
        <v>25</v>
      </c>
      <c r="B28" s="77" t="inlineStr">
        <is>
          <t>Electronics Engineer</t>
        </is>
      </c>
      <c r="C28" s="78" t="inlineStr">
        <is>
          <t>Engineering</t>
        </is>
      </c>
      <c r="D28" s="76" t="n">
        <v>80</v>
      </c>
      <c r="E28" s="76" t="n">
        <v>80</v>
      </c>
      <c r="F28" s="76" t="n">
        <v>65</v>
      </c>
      <c r="G28" s="76" t="n">
        <v>55</v>
      </c>
      <c r="H28" s="76" t="n">
        <v>75</v>
      </c>
      <c r="I28" s="76">
        <f>ABS('Student Calculator'!C30-D28)</f>
        <v/>
      </c>
      <c r="J28" s="76">
        <f>ABS('Student Calculator'!D30-E28)</f>
        <v/>
      </c>
      <c r="K28" s="76">
        <f>ABS('Student Calculator'!E30-F28)</f>
        <v/>
      </c>
      <c r="L28" s="76">
        <f>ABS('Student Calculator'!F30-G28)</f>
        <v/>
      </c>
      <c r="M28" s="79">
        <f>ROUND(MAX(0, 100 - (I28*0.25 + J28*0.2 + K28*0.25 + L28*0.2)), 1)</f>
        <v/>
      </c>
      <c r="N28" s="80">
        <f>IF(M28&gt;=72,"🟢 BEST FIT",IF(M28&gt;=52,"🟡 CONSIDER","🔴 MISMATCH"))</f>
        <v/>
      </c>
      <c r="O28" s="81" t="inlineStr">
        <is>
          <t>B.Tech ECE</t>
        </is>
      </c>
      <c r="P28" s="82" t="inlineStr">
        <is>
          <t>No</t>
        </is>
      </c>
      <c r="Q28" s="81" t="inlineStr">
        <is>
          <t>Diploma ECE → lateral entry; B.Sc Electronics → M.Sc/M.Tech route</t>
        </is>
      </c>
      <c r="R28" s="81" t="inlineStr">
        <is>
          <t>Diploma ECE, B.Sc Electronics</t>
        </is>
      </c>
    </row>
    <row r="29" ht="30" customHeight="1" s="63">
      <c r="A29" s="83" t="n">
        <v>26</v>
      </c>
      <c r="B29" s="84" t="inlineStr">
        <is>
          <t>Computer Science Engineer</t>
        </is>
      </c>
      <c r="C29" s="85" t="inlineStr">
        <is>
          <t>Technology</t>
        </is>
      </c>
      <c r="D29" s="83" t="n">
        <v>55</v>
      </c>
      <c r="E29" s="83" t="n">
        <v>90</v>
      </c>
      <c r="F29" s="83" t="n">
        <v>70</v>
      </c>
      <c r="G29" s="83" t="n">
        <v>45</v>
      </c>
      <c r="H29" s="83" t="n">
        <v>80</v>
      </c>
      <c r="I29" s="83">
        <f>ABS('Student Calculator'!C30-D29)</f>
        <v/>
      </c>
      <c r="J29" s="83">
        <f>ABS('Student Calculator'!D30-E29)</f>
        <v/>
      </c>
      <c r="K29" s="83">
        <f>ABS('Student Calculator'!E30-F29)</f>
        <v/>
      </c>
      <c r="L29" s="83">
        <f>ABS('Student Calculator'!F30-G29)</f>
        <v/>
      </c>
      <c r="M29" s="86">
        <f>ROUND(MAX(0, 100 - (I29*0.25 + J29*0.2 + K29*0.25 + L29*0.2)), 1)</f>
        <v/>
      </c>
      <c r="N29" s="87">
        <f>IF(M29&gt;=72,"🟢 BEST FIT",IF(M29&gt;=52,"🟡 CONSIDER","🔴 MISMATCH"))</f>
        <v/>
      </c>
      <c r="O29" s="88" t="inlineStr">
        <is>
          <t>B.Tech CSE</t>
        </is>
      </c>
      <c r="P29" s="91" t="inlineStr">
        <is>
          <t>Partly</t>
        </is>
      </c>
      <c r="Q29" s="88" t="inlineStr">
        <is>
          <t>BCA/B.Sc CS → MCA; or a self-taught portfolio route straight into software roles</t>
        </is>
      </c>
      <c r="R29" s="88" t="inlineStr">
        <is>
          <t>BCA, B.Sc CS/IT/Maths, any BE branch</t>
        </is>
      </c>
    </row>
    <row r="30" ht="30" customHeight="1" s="63">
      <c r="A30" s="76" t="n">
        <v>27</v>
      </c>
      <c r="B30" s="77" t="inlineStr">
        <is>
          <t>Software Developer</t>
        </is>
      </c>
      <c r="C30" s="78" t="inlineStr">
        <is>
          <t>Technology</t>
        </is>
      </c>
      <c r="D30" s="76" t="n">
        <v>45</v>
      </c>
      <c r="E30" s="76" t="n">
        <v>90</v>
      </c>
      <c r="F30" s="76" t="n">
        <v>70</v>
      </c>
      <c r="G30" s="76" t="n">
        <v>45</v>
      </c>
      <c r="H30" s="76" t="n">
        <v>80</v>
      </c>
      <c r="I30" s="76">
        <f>ABS('Student Calculator'!C30-D30)</f>
        <v/>
      </c>
      <c r="J30" s="76">
        <f>ABS('Student Calculator'!D30-E30)</f>
        <v/>
      </c>
      <c r="K30" s="76">
        <f>ABS('Student Calculator'!E30-F30)</f>
        <v/>
      </c>
      <c r="L30" s="76">
        <f>ABS('Student Calculator'!F30-G30)</f>
        <v/>
      </c>
      <c r="M30" s="79">
        <f>ROUND(MAX(0, 100 - (I30*0.25 + J30*0.2 + K30*0.25 + L30*0.2)), 1)</f>
        <v/>
      </c>
      <c r="N30" s="80">
        <f>IF(M30&gt;=72,"🟢 BEST FIT",IF(M30&gt;=52,"🟡 CONSIDER","🔴 MISMATCH"))</f>
        <v/>
      </c>
      <c r="O30" s="81" t="inlineStr">
        <is>
          <t>B.Tech CSE / BCA</t>
        </is>
      </c>
      <c r="P30" s="92" t="inlineStr">
        <is>
          <t>Yes</t>
        </is>
      </c>
      <c r="Q30" s="81" t="inlineStr">
        <is>
          <t>Bootcamps, open-source portfolio and DSA prep — most product firms hire any-degree candidates</t>
        </is>
      </c>
      <c r="R30" s="81" t="inlineStr">
        <is>
          <t>ANY degree with a strong coding portfolio</t>
        </is>
      </c>
    </row>
    <row r="31" ht="30" customHeight="1" s="63">
      <c r="A31" s="83" t="n">
        <v>28</v>
      </c>
      <c r="B31" s="84" t="inlineStr">
        <is>
          <t>Data Scientist</t>
        </is>
      </c>
      <c r="C31" s="85" t="inlineStr">
        <is>
          <t>Technology</t>
        </is>
      </c>
      <c r="D31" s="83" t="n">
        <v>40</v>
      </c>
      <c r="E31" s="83" t="n">
        <v>95</v>
      </c>
      <c r="F31" s="83" t="n">
        <v>75</v>
      </c>
      <c r="G31" s="83" t="n">
        <v>40</v>
      </c>
      <c r="H31" s="83" t="n">
        <v>80</v>
      </c>
      <c r="I31" s="83">
        <f>ABS('Student Calculator'!C30-D31)</f>
        <v/>
      </c>
      <c r="J31" s="83">
        <f>ABS('Student Calculator'!D30-E31)</f>
        <v/>
      </c>
      <c r="K31" s="83">
        <f>ABS('Student Calculator'!E30-F31)</f>
        <v/>
      </c>
      <c r="L31" s="83">
        <f>ABS('Student Calculator'!F30-G31)</f>
        <v/>
      </c>
      <c r="M31" s="86">
        <f>ROUND(MAX(0, 100 - (I31*0.25 + J31*0.2 + K31*0.25 + L31*0.2)), 1)</f>
        <v/>
      </c>
      <c r="N31" s="87">
        <f>IF(M31&gt;=72,"🟢 BEST FIT",IF(M31&gt;=52,"🟡 CONSIDER","🔴 MISMATCH"))</f>
        <v/>
      </c>
      <c r="O31" s="88" t="inlineStr">
        <is>
          <t>B.Tech / B.Sc Statistics or Maths</t>
        </is>
      </c>
      <c r="P31" s="93" t="inlineStr">
        <is>
          <t>Yes</t>
        </is>
      </c>
      <c r="Q31" s="88" t="inlineStr">
        <is>
          <t>M.Sc Data Science, PG Diploma (IIIT-B, ISI, IIT), or a Kaggle + project portfolio</t>
        </is>
      </c>
      <c r="R31" s="88" t="inlineStr">
        <is>
          <t>ANY quantitative degree — Stats, Economics, Physics, Engineering, Commerce</t>
        </is>
      </c>
    </row>
    <row r="32" ht="30" customHeight="1" s="63">
      <c r="A32" s="76" t="n">
        <v>29</v>
      </c>
      <c r="B32" s="77" t="inlineStr">
        <is>
          <t>AI/ML Engineer</t>
        </is>
      </c>
      <c r="C32" s="78" t="inlineStr">
        <is>
          <t>Technology</t>
        </is>
      </c>
      <c r="D32" s="76" t="n">
        <v>40</v>
      </c>
      <c r="E32" s="76" t="n">
        <v>95</v>
      </c>
      <c r="F32" s="76" t="n">
        <v>75</v>
      </c>
      <c r="G32" s="76" t="n">
        <v>40</v>
      </c>
      <c r="H32" s="76" t="n">
        <v>80</v>
      </c>
      <c r="I32" s="76">
        <f>ABS('Student Calculator'!C30-D32)</f>
        <v/>
      </c>
      <c r="J32" s="76">
        <f>ABS('Student Calculator'!D30-E32)</f>
        <v/>
      </c>
      <c r="K32" s="76">
        <f>ABS('Student Calculator'!E30-F32)</f>
        <v/>
      </c>
      <c r="L32" s="76">
        <f>ABS('Student Calculator'!F30-G32)</f>
        <v/>
      </c>
      <c r="M32" s="79">
        <f>ROUND(MAX(0, 100 - (I32*0.25 + J32*0.2 + K32*0.25 + L32*0.2)), 1)</f>
        <v/>
      </c>
      <c r="N32" s="80">
        <f>IF(M32&gt;=72,"🟢 BEST FIT",IF(M32&gt;=52,"🟡 CONSIDER","🔴 MISMATCH"))</f>
        <v/>
      </c>
      <c r="O32" s="81" t="inlineStr">
        <is>
          <t>B.Tech CSE/AI</t>
        </is>
      </c>
      <c r="P32" s="92" t="inlineStr">
        <is>
          <t>Yes</t>
        </is>
      </c>
      <c r="Q32" s="81" t="inlineStr">
        <is>
          <t>Self-study plus reproduced research and open-source work; M.Tech AI via GATE</t>
        </is>
      </c>
      <c r="R32" s="81" t="inlineStr">
        <is>
          <t>B.Sc Maths/Physics/Stats, any BE branch, BCA</t>
        </is>
      </c>
    </row>
    <row r="33" ht="30" customHeight="1" s="63">
      <c r="A33" s="83" t="n">
        <v>30</v>
      </c>
      <c r="B33" s="84" t="inlineStr">
        <is>
          <t>Cybersecurity Analyst</t>
        </is>
      </c>
      <c r="C33" s="85" t="inlineStr">
        <is>
          <t>Technology</t>
        </is>
      </c>
      <c r="D33" s="83" t="n">
        <v>55</v>
      </c>
      <c r="E33" s="83" t="n">
        <v>90</v>
      </c>
      <c r="F33" s="83" t="n">
        <v>70</v>
      </c>
      <c r="G33" s="83" t="n">
        <v>40</v>
      </c>
      <c r="H33" s="83" t="n">
        <v>80</v>
      </c>
      <c r="I33" s="83">
        <f>ABS('Student Calculator'!C30-D33)</f>
        <v/>
      </c>
      <c r="J33" s="83">
        <f>ABS('Student Calculator'!D30-E33)</f>
        <v/>
      </c>
      <c r="K33" s="83">
        <f>ABS('Student Calculator'!E30-F33)</f>
        <v/>
      </c>
      <c r="L33" s="83">
        <f>ABS('Student Calculator'!F30-G33)</f>
        <v/>
      </c>
      <c r="M33" s="86">
        <f>ROUND(MAX(0, 100 - (I33*0.25 + J33*0.2 + K33*0.25 + L33*0.2)), 1)</f>
        <v/>
      </c>
      <c r="N33" s="87">
        <f>IF(M33&gt;=72,"🟢 BEST FIT",IF(M33&gt;=52,"🟡 CONSIDER","🔴 MISMATCH"))</f>
        <v/>
      </c>
      <c r="O33" s="88" t="inlineStr">
        <is>
          <t>B.Tech CSE/IT</t>
        </is>
      </c>
      <c r="P33" s="93" t="inlineStr">
        <is>
          <t>Yes</t>
        </is>
      </c>
      <c r="Q33" s="88" t="inlineStr">
        <is>
          <t>CEH, CompTIA Security+, OSCP — certifications outweigh the degree in hiring</t>
        </is>
      </c>
      <c r="R33" s="88" t="inlineStr">
        <is>
          <t>BCA, B.Sc IT, ANY degree with security certifications</t>
        </is>
      </c>
    </row>
    <row r="34" ht="30" customHeight="1" s="63">
      <c r="A34" s="76" t="n">
        <v>31</v>
      </c>
      <c r="B34" s="77" t="inlineStr">
        <is>
          <t>Cloud Solutions Architect</t>
        </is>
      </c>
      <c r="C34" s="78" t="inlineStr">
        <is>
          <t>Technology</t>
        </is>
      </c>
      <c r="D34" s="76" t="n">
        <v>55</v>
      </c>
      <c r="E34" s="76" t="n">
        <v>85</v>
      </c>
      <c r="F34" s="76" t="n">
        <v>70</v>
      </c>
      <c r="G34" s="76" t="n">
        <v>45</v>
      </c>
      <c r="H34" s="76" t="n">
        <v>80</v>
      </c>
      <c r="I34" s="76">
        <f>ABS('Student Calculator'!C30-D34)</f>
        <v/>
      </c>
      <c r="J34" s="76">
        <f>ABS('Student Calculator'!D30-E34)</f>
        <v/>
      </c>
      <c r="K34" s="76">
        <f>ABS('Student Calculator'!E30-F34)</f>
        <v/>
      </c>
      <c r="L34" s="76">
        <f>ABS('Student Calculator'!F30-G34)</f>
        <v/>
      </c>
      <c r="M34" s="79">
        <f>ROUND(MAX(0, 100 - (I34*0.25 + J34*0.2 + K34*0.25 + L34*0.2)), 1)</f>
        <v/>
      </c>
      <c r="N34" s="80">
        <f>IF(M34&gt;=72,"🟢 BEST FIT",IF(M34&gt;=52,"🟡 CONSIDER","🔴 MISMATCH"))</f>
        <v/>
      </c>
      <c r="O34" s="81" t="inlineStr">
        <is>
          <t>B.Tech CSE/IT</t>
        </is>
      </c>
      <c r="P34" s="92" t="inlineStr">
        <is>
          <t>Yes</t>
        </is>
      </c>
      <c r="Q34" s="81" t="inlineStr">
        <is>
          <t>AWS/Azure/GCP Architect certification after IT support or development experience</t>
        </is>
      </c>
      <c r="R34" s="81" t="inlineStr">
        <is>
          <t>BCA, B.Sc IT, ANY degree with cloud certifications</t>
        </is>
      </c>
    </row>
    <row r="35" ht="30" customHeight="1" s="63">
      <c r="A35" s="83" t="n">
        <v>32</v>
      </c>
      <c r="B35" s="84" t="inlineStr">
        <is>
          <t>DevOps Engineer</t>
        </is>
      </c>
      <c r="C35" s="85" t="inlineStr">
        <is>
          <t>Technology</t>
        </is>
      </c>
      <c r="D35" s="83" t="n">
        <v>65</v>
      </c>
      <c r="E35" s="83" t="n">
        <v>85</v>
      </c>
      <c r="F35" s="83" t="n">
        <v>65</v>
      </c>
      <c r="G35" s="83" t="n">
        <v>40</v>
      </c>
      <c r="H35" s="83" t="n">
        <v>75</v>
      </c>
      <c r="I35" s="83">
        <f>ABS('Student Calculator'!C30-D35)</f>
        <v/>
      </c>
      <c r="J35" s="83">
        <f>ABS('Student Calculator'!D30-E35)</f>
        <v/>
      </c>
      <c r="K35" s="83">
        <f>ABS('Student Calculator'!E30-F35)</f>
        <v/>
      </c>
      <c r="L35" s="83">
        <f>ABS('Student Calculator'!F30-G35)</f>
        <v/>
      </c>
      <c r="M35" s="86">
        <f>ROUND(MAX(0, 100 - (I35*0.25 + J35*0.2 + K35*0.25 + L35*0.2)), 1)</f>
        <v/>
      </c>
      <c r="N35" s="87">
        <f>IF(M35&gt;=72,"🟢 BEST FIT",IF(M35&gt;=52,"🟡 CONSIDER","🔴 MISMATCH"))</f>
        <v/>
      </c>
      <c r="O35" s="88" t="inlineStr">
        <is>
          <t>B.Tech CSE/IT</t>
        </is>
      </c>
      <c r="P35" s="93" t="inlineStr">
        <is>
          <t>Yes</t>
        </is>
      </c>
      <c r="Q35" s="88" t="inlineStr">
        <is>
          <t>Linux + Docker/Kubernetes certification; a very common pivot from sysadmin or QA</t>
        </is>
      </c>
      <c r="R35" s="88" t="inlineStr">
        <is>
          <t>BCA, B.Sc IT, ANY degree with DevOps certifications</t>
        </is>
      </c>
    </row>
    <row r="36" ht="30" customHeight="1" s="63">
      <c r="A36" s="76" t="n">
        <v>33</v>
      </c>
      <c r="B36" s="77" t="inlineStr">
        <is>
          <t>UX/UI Designer</t>
        </is>
      </c>
      <c r="C36" s="78" t="inlineStr">
        <is>
          <t>Design</t>
        </is>
      </c>
      <c r="D36" s="76" t="n">
        <v>70</v>
      </c>
      <c r="E36" s="76" t="n">
        <v>65</v>
      </c>
      <c r="F36" s="76" t="n">
        <v>75</v>
      </c>
      <c r="G36" s="76" t="n">
        <v>90</v>
      </c>
      <c r="H36" s="76" t="n">
        <v>70</v>
      </c>
      <c r="I36" s="76">
        <f>ABS('Student Calculator'!C30-D36)</f>
        <v/>
      </c>
      <c r="J36" s="76">
        <f>ABS('Student Calculator'!D30-E36)</f>
        <v/>
      </c>
      <c r="K36" s="76">
        <f>ABS('Student Calculator'!E30-F36)</f>
        <v/>
      </c>
      <c r="L36" s="76">
        <f>ABS('Student Calculator'!F30-G36)</f>
        <v/>
      </c>
      <c r="M36" s="79">
        <f>ROUND(MAX(0, 100 - (I36*0.25 + J36*0.2 + K36*0.25 + L36*0.2)), 1)</f>
        <v/>
      </c>
      <c r="N36" s="80">
        <f>IF(M36&gt;=72,"🟢 BEST FIT",IF(M36&gt;=52,"🟡 CONSIDER","🔴 MISMATCH"))</f>
        <v/>
      </c>
      <c r="O36" s="81" t="inlineStr">
        <is>
          <t>B.Des / B.Tech + design training</t>
        </is>
      </c>
      <c r="P36" s="92" t="inlineStr">
        <is>
          <t>Yes</t>
        </is>
      </c>
      <c r="Q36" s="81" t="inlineStr">
        <is>
          <t>Google UX certificate and portfolio-first hiring; NID/NIFT PG Diploma open to any graduate</t>
        </is>
      </c>
      <c r="R36" s="81" t="inlineStr">
        <is>
          <t>ANY degree — Psychology, Architecture, Fine Arts and Engineering are all common</t>
        </is>
      </c>
    </row>
    <row r="37" ht="30" customHeight="1" s="63">
      <c r="A37" s="83" t="n">
        <v>34</v>
      </c>
      <c r="B37" s="84" t="inlineStr">
        <is>
          <t>Product Manager</t>
        </is>
      </c>
      <c r="C37" s="85" t="inlineStr">
        <is>
          <t>Business</t>
        </is>
      </c>
      <c r="D37" s="83" t="n">
        <v>65</v>
      </c>
      <c r="E37" s="83" t="n">
        <v>75</v>
      </c>
      <c r="F37" s="83" t="n">
        <v>80</v>
      </c>
      <c r="G37" s="83" t="n">
        <v>75</v>
      </c>
      <c r="H37" s="83" t="n">
        <v>85</v>
      </c>
      <c r="I37" s="83">
        <f>ABS('Student Calculator'!C30-D37)</f>
        <v/>
      </c>
      <c r="J37" s="83">
        <f>ABS('Student Calculator'!D30-E37)</f>
        <v/>
      </c>
      <c r="K37" s="83">
        <f>ABS('Student Calculator'!E30-F37)</f>
        <v/>
      </c>
      <c r="L37" s="83">
        <f>ABS('Student Calculator'!F30-G37)</f>
        <v/>
      </c>
      <c r="M37" s="86">
        <f>ROUND(MAX(0, 100 - (I37*0.25 + J37*0.2 + K37*0.25 + L37*0.2)), 1)</f>
        <v/>
      </c>
      <c r="N37" s="87">
        <f>IF(M37&gt;=72,"🟢 BEST FIT",IF(M37&gt;=52,"🟡 CONSIDER","🔴 MISMATCH"))</f>
        <v/>
      </c>
      <c r="O37" s="88" t="inlineStr">
        <is>
          <t>B.Tech or any degree + MBA (typical)</t>
        </is>
      </c>
      <c r="P37" s="93" t="inlineStr">
        <is>
          <t>Yes</t>
        </is>
      </c>
      <c r="Q37" s="88" t="inlineStr">
        <is>
          <t>APM programmes; internal pivot from BA, marketing or support; MBA via CAT from any degree</t>
        </is>
      </c>
      <c r="R37" s="88" t="inlineStr">
        <is>
          <t>ANY degree — Engineering, Commerce, Design and Liberal Arts all feed it</t>
        </is>
      </c>
    </row>
    <row r="38" ht="30" customHeight="1" s="63">
      <c r="A38" s="76" t="n">
        <v>35</v>
      </c>
      <c r="B38" s="77" t="inlineStr">
        <is>
          <t>Business Analyst</t>
        </is>
      </c>
      <c r="C38" s="78" t="inlineStr">
        <is>
          <t>Business</t>
        </is>
      </c>
      <c r="D38" s="76" t="n">
        <v>50</v>
      </c>
      <c r="E38" s="76" t="n">
        <v>85</v>
      </c>
      <c r="F38" s="76" t="n">
        <v>70</v>
      </c>
      <c r="G38" s="76" t="n">
        <v>65</v>
      </c>
      <c r="H38" s="76" t="n">
        <v>85</v>
      </c>
      <c r="I38" s="76">
        <f>ABS('Student Calculator'!C30-D38)</f>
        <v/>
      </c>
      <c r="J38" s="76">
        <f>ABS('Student Calculator'!D30-E38)</f>
        <v/>
      </c>
      <c r="K38" s="76">
        <f>ABS('Student Calculator'!E30-F38)</f>
        <v/>
      </c>
      <c r="L38" s="76">
        <f>ABS('Student Calculator'!F30-G38)</f>
        <v/>
      </c>
      <c r="M38" s="79">
        <f>ROUND(MAX(0, 100 - (I38*0.25 + J38*0.2 + K38*0.25 + L38*0.2)), 1)</f>
        <v/>
      </c>
      <c r="N38" s="80">
        <f>IF(M38&gt;=72,"🟢 BEST FIT",IF(M38&gt;=52,"🟡 CONSIDER","🔴 MISMATCH"))</f>
        <v/>
      </c>
      <c r="O38" s="81" t="inlineStr">
        <is>
          <t>Any bachelor's + analytics skills</t>
        </is>
      </c>
      <c r="P38" s="92" t="inlineStr">
        <is>
          <t>Yes</t>
        </is>
      </c>
      <c r="Q38" s="81" t="inlineStr">
        <is>
          <t>CBAP/ECBA certification; in practice SQL + Excel + domain knowledge is the real gate</t>
        </is>
      </c>
      <c r="R38" s="81" t="inlineStr">
        <is>
          <t>B.Com, BBA, BE, B.Sc, BA Economics</t>
        </is>
      </c>
    </row>
    <row r="39" ht="30" customHeight="1" s="63">
      <c r="A39" s="83" t="n">
        <v>36</v>
      </c>
      <c r="B39" s="84" t="inlineStr">
        <is>
          <t>Actuary</t>
        </is>
      </c>
      <c r="C39" s="85" t="inlineStr">
        <is>
          <t>Finance</t>
        </is>
      </c>
      <c r="D39" s="83" t="n">
        <v>35</v>
      </c>
      <c r="E39" s="83" t="n">
        <v>95</v>
      </c>
      <c r="F39" s="83" t="n">
        <v>65</v>
      </c>
      <c r="G39" s="83" t="n">
        <v>35</v>
      </c>
      <c r="H39" s="83" t="n">
        <v>85</v>
      </c>
      <c r="I39" s="83">
        <f>ABS('Student Calculator'!C30-D39)</f>
        <v/>
      </c>
      <c r="J39" s="83">
        <f>ABS('Student Calculator'!D30-E39)</f>
        <v/>
      </c>
      <c r="K39" s="83">
        <f>ABS('Student Calculator'!E30-F39)</f>
        <v/>
      </c>
      <c r="L39" s="83">
        <f>ABS('Student Calculator'!F30-G39)</f>
        <v/>
      </c>
      <c r="M39" s="86">
        <f>ROUND(MAX(0, 100 - (I39*0.25 + J39*0.2 + K39*0.25 + L39*0.2)), 1)</f>
        <v/>
      </c>
      <c r="N39" s="87">
        <f>IF(M39&gt;=72,"🟢 BEST FIT",IF(M39&gt;=52,"🟡 CONSIDER","🔴 MISMATCH"))</f>
        <v/>
      </c>
      <c r="O39" s="88" t="inlineStr">
        <is>
          <t>Any degree + IAI actuarial exams</t>
        </is>
      </c>
      <c r="P39" s="93" t="inlineStr">
        <is>
          <t>Yes</t>
        </is>
      </c>
      <c r="Q39" s="88" t="inlineStr">
        <is>
          <t>Institute of Actuaries of India: ACET entrance then 13 exams — degree is irrelevant</t>
        </is>
      </c>
      <c r="R39" s="88" t="inlineStr">
        <is>
          <t>B.Sc Maths/Stats, B.Com, BE, Economics</t>
        </is>
      </c>
    </row>
    <row r="40" ht="30" customHeight="1" s="63">
      <c r="A40" s="76" t="n">
        <v>37</v>
      </c>
      <c r="B40" s="77" t="inlineStr">
        <is>
          <t>Chartered Accountant</t>
        </is>
      </c>
      <c r="C40" s="78" t="inlineStr">
        <is>
          <t>Finance</t>
        </is>
      </c>
      <c r="D40" s="76" t="n">
        <v>40</v>
      </c>
      <c r="E40" s="76" t="n">
        <v>90</v>
      </c>
      <c r="F40" s="76" t="n">
        <v>60</v>
      </c>
      <c r="G40" s="76" t="n">
        <v>40</v>
      </c>
      <c r="H40" s="76" t="n">
        <v>85</v>
      </c>
      <c r="I40" s="76">
        <f>ABS('Student Calculator'!C30-D40)</f>
        <v/>
      </c>
      <c r="J40" s="76">
        <f>ABS('Student Calculator'!D30-E40)</f>
        <v/>
      </c>
      <c r="K40" s="76">
        <f>ABS('Student Calculator'!E30-F40)</f>
        <v/>
      </c>
      <c r="L40" s="76">
        <f>ABS('Student Calculator'!F30-G40)</f>
        <v/>
      </c>
      <c r="M40" s="79">
        <f>ROUND(MAX(0, 100 - (I40*0.25 + J40*0.2 + K40*0.25 + L40*0.2)), 1)</f>
        <v/>
      </c>
      <c r="N40" s="80">
        <f>IF(M40&gt;=72,"🟢 BEST FIT",IF(M40&gt;=52,"🟡 CONSIDER","🔴 MISMATCH"))</f>
        <v/>
      </c>
      <c r="O40" s="81" t="inlineStr">
        <is>
          <t>ICAI CA — no degree required</t>
        </is>
      </c>
      <c r="P40" s="92" t="inlineStr">
        <is>
          <t>Yes</t>
        </is>
      </c>
      <c r="Q40" s="81" t="inlineStr">
        <is>
          <t>Foundation route after Class 12, or Direct Entry after ANY graduation</t>
        </is>
      </c>
      <c r="R40" s="81" t="inlineStr">
        <is>
          <t>ANY graduate via ICAI Direct Entry</t>
        </is>
      </c>
    </row>
    <row r="41" ht="30" customHeight="1" s="63">
      <c r="A41" s="83" t="n">
        <v>38</v>
      </c>
      <c r="B41" s="84" t="inlineStr">
        <is>
          <t>Investment Banker</t>
        </is>
      </c>
      <c r="C41" s="85" t="inlineStr">
        <is>
          <t>Finance</t>
        </is>
      </c>
      <c r="D41" s="83" t="n">
        <v>60</v>
      </c>
      <c r="E41" s="83" t="n">
        <v>80</v>
      </c>
      <c r="F41" s="83" t="n">
        <v>70</v>
      </c>
      <c r="G41" s="83" t="n">
        <v>55</v>
      </c>
      <c r="H41" s="83" t="n">
        <v>85</v>
      </c>
      <c r="I41" s="83">
        <f>ABS('Student Calculator'!C30-D41)</f>
        <v/>
      </c>
      <c r="J41" s="83">
        <f>ABS('Student Calculator'!D30-E41)</f>
        <v/>
      </c>
      <c r="K41" s="83">
        <f>ABS('Student Calculator'!E30-F41)</f>
        <v/>
      </c>
      <c r="L41" s="83">
        <f>ABS('Student Calculator'!F30-G41)</f>
        <v/>
      </c>
      <c r="M41" s="86">
        <f>ROUND(MAX(0, 100 - (I41*0.25 + J41*0.2 + K41*0.25 + L41*0.2)), 1)</f>
        <v/>
      </c>
      <c r="N41" s="87">
        <f>IF(M41&gt;=72,"🟢 BEST FIT",IF(M41&gt;=52,"🟡 CONSIDER","🔴 MISMATCH"))</f>
        <v/>
      </c>
      <c r="O41" s="88" t="inlineStr">
        <is>
          <t>B.Com/BBA/BE + MBA Finance</t>
        </is>
      </c>
      <c r="P41" s="93" t="inlineStr">
        <is>
          <t>Yes</t>
        </is>
      </c>
      <c r="Q41" s="88" t="inlineStr">
        <is>
          <t>CFA plus networking; analyst roles open to any degree that can demonstrate modelling skill</t>
        </is>
      </c>
      <c r="R41" s="88" t="inlineStr">
        <is>
          <t>B.Com, Economics, Engineering, CA</t>
        </is>
      </c>
    </row>
    <row r="42" ht="30" customHeight="1" s="63">
      <c r="A42" s="76" t="n">
        <v>39</v>
      </c>
      <c r="B42" s="77" t="inlineStr">
        <is>
          <t>Equity Research Analyst</t>
        </is>
      </c>
      <c r="C42" s="78" t="inlineStr">
        <is>
          <t>Finance</t>
        </is>
      </c>
      <c r="D42" s="76" t="n">
        <v>45</v>
      </c>
      <c r="E42" s="76" t="n">
        <v>90</v>
      </c>
      <c r="F42" s="76" t="n">
        <v>70</v>
      </c>
      <c r="G42" s="76" t="n">
        <v>50</v>
      </c>
      <c r="H42" s="76" t="n">
        <v>85</v>
      </c>
      <c r="I42" s="76">
        <f>ABS('Student Calculator'!C30-D42)</f>
        <v/>
      </c>
      <c r="J42" s="76">
        <f>ABS('Student Calculator'!D30-E42)</f>
        <v/>
      </c>
      <c r="K42" s="76">
        <f>ABS('Student Calculator'!E30-F42)</f>
        <v/>
      </c>
      <c r="L42" s="76">
        <f>ABS('Student Calculator'!F30-G42)</f>
        <v/>
      </c>
      <c r="M42" s="79">
        <f>ROUND(MAX(0, 100 - (I42*0.25 + J42*0.2 + K42*0.25 + L42*0.2)), 1)</f>
        <v/>
      </c>
      <c r="N42" s="80">
        <f>IF(M42&gt;=72,"🟢 BEST FIT",IF(M42&gt;=52,"🟡 CONSIDER","🔴 MISMATCH"))</f>
        <v/>
      </c>
      <c r="O42" s="81" t="inlineStr">
        <is>
          <t>B.Com/Economics + CFA or MBA</t>
        </is>
      </c>
      <c r="P42" s="92" t="inlineStr">
        <is>
          <t>Yes</t>
        </is>
      </c>
      <c r="Q42" s="81" t="inlineStr">
        <is>
          <t>CFA Level I–III, or NISM Research Analyst certification</t>
        </is>
      </c>
      <c r="R42" s="81" t="inlineStr">
        <is>
          <t>B.Com, BBA, BE, Economics, CA</t>
        </is>
      </c>
    </row>
    <row r="43" ht="30" customHeight="1" s="63">
      <c r="A43" s="83" t="n">
        <v>40</v>
      </c>
      <c r="B43" s="84" t="inlineStr">
        <is>
          <t>Financial Planner</t>
        </is>
      </c>
      <c r="C43" s="85" t="inlineStr">
        <is>
          <t>Finance</t>
        </is>
      </c>
      <c r="D43" s="83" t="n">
        <v>55</v>
      </c>
      <c r="E43" s="83" t="n">
        <v>80</v>
      </c>
      <c r="F43" s="83" t="n">
        <v>70</v>
      </c>
      <c r="G43" s="83" t="n">
        <v>60</v>
      </c>
      <c r="H43" s="83" t="n">
        <v>80</v>
      </c>
      <c r="I43" s="83">
        <f>ABS('Student Calculator'!C30-D43)</f>
        <v/>
      </c>
      <c r="J43" s="83">
        <f>ABS('Student Calculator'!D30-E43)</f>
        <v/>
      </c>
      <c r="K43" s="83">
        <f>ABS('Student Calculator'!E30-F43)</f>
        <v/>
      </c>
      <c r="L43" s="83">
        <f>ABS('Student Calculator'!F30-G43)</f>
        <v/>
      </c>
      <c r="M43" s="86">
        <f>ROUND(MAX(0, 100 - (I43*0.25 + J43*0.2 + K43*0.25 + L43*0.2)), 1)</f>
        <v/>
      </c>
      <c r="N43" s="87">
        <f>IF(M43&gt;=72,"🟢 BEST FIT",IF(M43&gt;=52,"🟡 CONSIDER","🔴 MISMATCH"))</f>
        <v/>
      </c>
      <c r="O43" s="88" t="inlineStr">
        <is>
          <t>Any degree + CFP</t>
        </is>
      </c>
      <c r="P43" s="93" t="inlineStr">
        <is>
          <t>Yes</t>
        </is>
      </c>
      <c r="Q43" s="88" t="inlineStr">
        <is>
          <t>CFP (FPSB India) or NISM Investment Adviser certification</t>
        </is>
      </c>
      <c r="R43" s="88" t="inlineStr">
        <is>
          <t>ANY degree</t>
        </is>
      </c>
    </row>
    <row r="44" ht="30" customHeight="1" s="63">
      <c r="A44" s="76" t="n">
        <v>41</v>
      </c>
      <c r="B44" s="77" t="inlineStr">
        <is>
          <t>Venture Capitalist</t>
        </is>
      </c>
      <c r="C44" s="78" t="inlineStr">
        <is>
          <t>Business</t>
        </is>
      </c>
      <c r="D44" s="76" t="n">
        <v>70</v>
      </c>
      <c r="E44" s="76" t="n">
        <v>80</v>
      </c>
      <c r="F44" s="76" t="n">
        <v>80</v>
      </c>
      <c r="G44" s="76" t="n">
        <v>65</v>
      </c>
      <c r="H44" s="76" t="n">
        <v>90</v>
      </c>
      <c r="I44" s="76">
        <f>ABS('Student Calculator'!C30-D44)</f>
        <v/>
      </c>
      <c r="J44" s="76">
        <f>ABS('Student Calculator'!D30-E44)</f>
        <v/>
      </c>
      <c r="K44" s="76">
        <f>ABS('Student Calculator'!E30-F44)</f>
        <v/>
      </c>
      <c r="L44" s="76">
        <f>ABS('Student Calculator'!F30-G44)</f>
        <v/>
      </c>
      <c r="M44" s="79">
        <f>ROUND(MAX(0, 100 - (I44*0.25 + J44*0.2 + K44*0.25 + L44*0.2)), 1)</f>
        <v/>
      </c>
      <c r="N44" s="80">
        <f>IF(M44&gt;=72,"🟢 BEST FIT",IF(M44&gt;=52,"🟡 CONSIDER","🔴 MISMATCH"))</f>
        <v/>
      </c>
      <c r="O44" s="81" t="inlineStr">
        <is>
          <t>Any degree + MBA or operating experience</t>
        </is>
      </c>
      <c r="P44" s="92" t="inlineStr">
        <is>
          <t>Yes</t>
        </is>
      </c>
      <c r="Q44" s="81" t="inlineStr">
        <is>
          <t>Analyst roles via startup operating experience, CA, or a consulting background</t>
        </is>
      </c>
      <c r="R44" s="81" t="inlineStr">
        <is>
          <t>Engineering, Commerce, CA, ex-founders from any field</t>
        </is>
      </c>
    </row>
    <row r="45" ht="30" customHeight="1" s="63">
      <c r="A45" s="83" t="n">
        <v>42</v>
      </c>
      <c r="B45" s="84" t="inlineStr">
        <is>
          <t>Entrepreneur/Startup Founder</t>
        </is>
      </c>
      <c r="C45" s="85" t="inlineStr">
        <is>
          <t>Business</t>
        </is>
      </c>
      <c r="D45" s="83" t="n">
        <v>85</v>
      </c>
      <c r="E45" s="83" t="n">
        <v>65</v>
      </c>
      <c r="F45" s="83" t="n">
        <v>95</v>
      </c>
      <c r="G45" s="83" t="n">
        <v>75</v>
      </c>
      <c r="H45" s="83" t="n">
        <v>85</v>
      </c>
      <c r="I45" s="83">
        <f>ABS('Student Calculator'!C30-D45)</f>
        <v/>
      </c>
      <c r="J45" s="83">
        <f>ABS('Student Calculator'!D30-E45)</f>
        <v/>
      </c>
      <c r="K45" s="83">
        <f>ABS('Student Calculator'!E30-F45)</f>
        <v/>
      </c>
      <c r="L45" s="83">
        <f>ABS('Student Calculator'!F30-G45)</f>
        <v/>
      </c>
      <c r="M45" s="86">
        <f>ROUND(MAX(0, 100 - (I45*0.25 + J45*0.2 + K45*0.25 + L45*0.2)), 1)</f>
        <v/>
      </c>
      <c r="N45" s="87">
        <f>IF(M45&gt;=72,"🟢 BEST FIT",IF(M45&gt;=52,"🟡 CONSIDER","🔴 MISMATCH"))</f>
        <v/>
      </c>
      <c r="O45" s="88" t="inlineStr">
        <is>
          <t>No degree requirement</t>
        </is>
      </c>
      <c r="P45" s="93" t="inlineStr">
        <is>
          <t>Yes</t>
        </is>
      </c>
      <c r="Q45" s="88" t="inlineStr">
        <is>
          <t>Build and ship; incubators (IIT/IIM E-Cells, T-Hub, Atal) accept anyone</t>
        </is>
      </c>
      <c r="R45" s="88" t="inlineStr">
        <is>
          <t>ANY degree, or none</t>
        </is>
      </c>
    </row>
    <row r="46" ht="30" customHeight="1" s="63">
      <c r="A46" s="76" t="n">
        <v>43</v>
      </c>
      <c r="B46" s="77" t="inlineStr">
        <is>
          <t>Management Consultant</t>
        </is>
      </c>
      <c r="C46" s="78" t="inlineStr">
        <is>
          <t>Business</t>
        </is>
      </c>
      <c r="D46" s="76" t="n">
        <v>65</v>
      </c>
      <c r="E46" s="76" t="n">
        <v>80</v>
      </c>
      <c r="F46" s="76" t="n">
        <v>75</v>
      </c>
      <c r="G46" s="76" t="n">
        <v>70</v>
      </c>
      <c r="H46" s="76" t="n">
        <v>90</v>
      </c>
      <c r="I46" s="76">
        <f>ABS('Student Calculator'!C30-D46)</f>
        <v/>
      </c>
      <c r="J46" s="76">
        <f>ABS('Student Calculator'!D30-E46)</f>
        <v/>
      </c>
      <c r="K46" s="76">
        <f>ABS('Student Calculator'!E30-F46)</f>
        <v/>
      </c>
      <c r="L46" s="76">
        <f>ABS('Student Calculator'!F30-G46)</f>
        <v/>
      </c>
      <c r="M46" s="79">
        <f>ROUND(MAX(0, 100 - (I46*0.25 + J46*0.2 + K46*0.25 + L46*0.2)), 1)</f>
        <v/>
      </c>
      <c r="N46" s="80">
        <f>IF(M46&gt;=72,"🟢 BEST FIT",IF(M46&gt;=52,"🟡 CONSIDER","🔴 MISMATCH"))</f>
        <v/>
      </c>
      <c r="O46" s="81" t="inlineStr">
        <is>
          <t>Any degree + MBA (top-tier)</t>
        </is>
      </c>
      <c r="P46" s="92" t="inlineStr">
        <is>
          <t>Yes</t>
        </is>
      </c>
      <c r="Q46" s="81" t="inlineStr">
        <is>
          <t>CAT/GMAT → MBA; analyst roles also hire directly from IIT/IISc and liberal-arts programmes</t>
        </is>
      </c>
      <c r="R46" s="81" t="inlineStr">
        <is>
          <t>Engineering, Economics, Commerce, Liberal Arts, CA</t>
        </is>
      </c>
    </row>
    <row r="47" ht="30" customHeight="1" s="63">
      <c r="A47" s="83" t="n">
        <v>44</v>
      </c>
      <c r="B47" s="84" t="inlineStr">
        <is>
          <t>Operations Manager</t>
        </is>
      </c>
      <c r="C47" s="85" t="inlineStr">
        <is>
          <t>Business</t>
        </is>
      </c>
      <c r="D47" s="83" t="n">
        <v>70</v>
      </c>
      <c r="E47" s="83" t="n">
        <v>80</v>
      </c>
      <c r="F47" s="83" t="n">
        <v>65</v>
      </c>
      <c r="G47" s="83" t="n">
        <v>65</v>
      </c>
      <c r="H47" s="83" t="n">
        <v>85</v>
      </c>
      <c r="I47" s="83">
        <f>ABS('Student Calculator'!C30-D47)</f>
        <v/>
      </c>
      <c r="J47" s="83">
        <f>ABS('Student Calculator'!D30-E47)</f>
        <v/>
      </c>
      <c r="K47" s="83">
        <f>ABS('Student Calculator'!E30-F47)</f>
        <v/>
      </c>
      <c r="L47" s="83">
        <f>ABS('Student Calculator'!F30-G47)</f>
        <v/>
      </c>
      <c r="M47" s="86">
        <f>ROUND(MAX(0, 100 - (I47*0.25 + J47*0.2 + K47*0.25 + L47*0.2)), 1)</f>
        <v/>
      </c>
      <c r="N47" s="87">
        <f>IF(M47&gt;=72,"🟢 BEST FIT",IF(M47&gt;=52,"🟡 CONSIDER","🔴 MISMATCH"))</f>
        <v/>
      </c>
      <c r="O47" s="88" t="inlineStr">
        <is>
          <t>BBA/B.Tech + MBA Operations</t>
        </is>
      </c>
      <c r="P47" s="93" t="inlineStr">
        <is>
          <t>Yes</t>
        </is>
      </c>
      <c r="Q47" s="88" t="inlineStr">
        <is>
          <t>Internal promotion from executive roles; Six Sigma Green/Black Belt</t>
        </is>
      </c>
      <c r="R47" s="88" t="inlineStr">
        <is>
          <t>ANY degree — BBA, BE, B.Com, BA</t>
        </is>
      </c>
    </row>
    <row r="48" ht="30" customHeight="1" s="63">
      <c r="A48" s="76" t="n">
        <v>45</v>
      </c>
      <c r="B48" s="77" t="inlineStr">
        <is>
          <t>Supply Chain Manager</t>
        </is>
      </c>
      <c r="C48" s="78" t="inlineStr">
        <is>
          <t>Business</t>
        </is>
      </c>
      <c r="D48" s="76" t="n">
        <v>70</v>
      </c>
      <c r="E48" s="76" t="n">
        <v>80</v>
      </c>
      <c r="F48" s="76" t="n">
        <v>65</v>
      </c>
      <c r="G48" s="76" t="n">
        <v>60</v>
      </c>
      <c r="H48" s="76" t="n">
        <v>80</v>
      </c>
      <c r="I48" s="76">
        <f>ABS('Student Calculator'!C30-D48)</f>
        <v/>
      </c>
      <c r="J48" s="76">
        <f>ABS('Student Calculator'!D30-E48)</f>
        <v/>
      </c>
      <c r="K48" s="76">
        <f>ABS('Student Calculator'!E30-F48)</f>
        <v/>
      </c>
      <c r="L48" s="76">
        <f>ABS('Student Calculator'!F30-G48)</f>
        <v/>
      </c>
      <c r="M48" s="79">
        <f>ROUND(MAX(0, 100 - (I48*0.25 + J48*0.2 + K48*0.25 + L48*0.2)), 1)</f>
        <v/>
      </c>
      <c r="N48" s="80">
        <f>IF(M48&gt;=72,"🟢 BEST FIT",IF(M48&gt;=52,"🟡 CONSIDER","🔴 MISMATCH"))</f>
        <v/>
      </c>
      <c r="O48" s="81" t="inlineStr">
        <is>
          <t>BBA/B.Tech + MBA SCM</t>
        </is>
      </c>
      <c r="P48" s="92" t="inlineStr">
        <is>
          <t>Yes</t>
        </is>
      </c>
      <c r="Q48" s="81" t="inlineStr">
        <is>
          <t>CSCP/CPIM (APICS) certification; pivot from operations or procurement</t>
        </is>
      </c>
      <c r="R48" s="81" t="inlineStr">
        <is>
          <t>BE Mech/Industrial, B.Com, BBA, ANY degree</t>
        </is>
      </c>
    </row>
    <row r="49" ht="30" customHeight="1" s="63">
      <c r="A49" s="83" t="n">
        <v>46</v>
      </c>
      <c r="B49" s="84" t="inlineStr">
        <is>
          <t>Human Resources Manager</t>
        </is>
      </c>
      <c r="C49" s="85" t="inlineStr">
        <is>
          <t>Business</t>
        </is>
      </c>
      <c r="D49" s="83" t="n">
        <v>50</v>
      </c>
      <c r="E49" s="83" t="n">
        <v>70</v>
      </c>
      <c r="F49" s="83" t="n">
        <v>70</v>
      </c>
      <c r="G49" s="83" t="n">
        <v>80</v>
      </c>
      <c r="H49" s="83" t="n">
        <v>80</v>
      </c>
      <c r="I49" s="83">
        <f>ABS('Student Calculator'!C30-D49)</f>
        <v/>
      </c>
      <c r="J49" s="83">
        <f>ABS('Student Calculator'!D30-E49)</f>
        <v/>
      </c>
      <c r="K49" s="83">
        <f>ABS('Student Calculator'!E30-F49)</f>
        <v/>
      </c>
      <c r="L49" s="83">
        <f>ABS('Student Calculator'!F30-G49)</f>
        <v/>
      </c>
      <c r="M49" s="86">
        <f>ROUND(MAX(0, 100 - (I49*0.25 + J49*0.2 + K49*0.25 + L49*0.2)), 1)</f>
        <v/>
      </c>
      <c r="N49" s="87">
        <f>IF(M49&gt;=72,"🟢 BEST FIT",IF(M49&gt;=52,"🟡 CONSIDER","🔴 MISMATCH"))</f>
        <v/>
      </c>
      <c r="O49" s="88" t="inlineStr">
        <is>
          <t>Any degree + MBA-HR / MSW / PGDM</t>
        </is>
      </c>
      <c r="P49" s="93" t="inlineStr">
        <is>
          <t>Yes</t>
        </is>
      </c>
      <c r="Q49" s="88" t="inlineStr">
        <is>
          <t>MBA-HR via CAT/XAT, TISS MA-HRM, XLRI PG certification, or SHRM-CP; internal move from ops or admin also works</t>
        </is>
      </c>
      <c r="R49" s="88" t="inlineStr">
        <is>
          <t>ANY degree — Psychology, Commerce, Engineering and Arts are all common</t>
        </is>
      </c>
    </row>
    <row r="50" ht="30" customHeight="1" s="63">
      <c r="A50" s="76" t="n">
        <v>47</v>
      </c>
      <c r="B50" s="77" t="inlineStr">
        <is>
          <t>Marketing Manager</t>
        </is>
      </c>
      <c r="C50" s="78" t="inlineStr">
        <is>
          <t>Business</t>
        </is>
      </c>
      <c r="D50" s="76" t="n">
        <v>65</v>
      </c>
      <c r="E50" s="76" t="n">
        <v>65</v>
      </c>
      <c r="F50" s="76" t="n">
        <v>75</v>
      </c>
      <c r="G50" s="76" t="n">
        <v>80</v>
      </c>
      <c r="H50" s="76" t="n">
        <v>80</v>
      </c>
      <c r="I50" s="76">
        <f>ABS('Student Calculator'!C30-D50)</f>
        <v/>
      </c>
      <c r="J50" s="76">
        <f>ABS('Student Calculator'!D30-E50)</f>
        <v/>
      </c>
      <c r="K50" s="76">
        <f>ABS('Student Calculator'!E30-F50)</f>
        <v/>
      </c>
      <c r="L50" s="76">
        <f>ABS('Student Calculator'!F30-G50)</f>
        <v/>
      </c>
      <c r="M50" s="79">
        <f>ROUND(MAX(0, 100 - (I50*0.25 + J50*0.2 + K50*0.25 + L50*0.2)), 1)</f>
        <v/>
      </c>
      <c r="N50" s="80">
        <f>IF(M50&gt;=72,"🟢 BEST FIT",IF(M50&gt;=52,"🟡 CONSIDER","🔴 MISMATCH"))</f>
        <v/>
      </c>
      <c r="O50" s="81" t="inlineStr">
        <is>
          <t>Any degree + MBA Marketing</t>
        </is>
      </c>
      <c r="P50" s="92" t="inlineStr">
        <is>
          <t>Yes</t>
        </is>
      </c>
      <c r="Q50" s="81" t="inlineStr">
        <is>
          <t>Digital marketing certifications plus portfolio; internal pivot from sales or content</t>
        </is>
      </c>
      <c r="R50" s="81" t="inlineStr">
        <is>
          <t>ANY degree</t>
        </is>
      </c>
    </row>
    <row r="51" ht="30" customHeight="1" s="63">
      <c r="A51" s="83" t="n">
        <v>48</v>
      </c>
      <c r="B51" s="84" t="inlineStr">
        <is>
          <t>Brand Strategist</t>
        </is>
      </c>
      <c r="C51" s="85" t="inlineStr">
        <is>
          <t>Business</t>
        </is>
      </c>
      <c r="D51" s="83" t="n">
        <v>65</v>
      </c>
      <c r="E51" s="83" t="n">
        <v>60</v>
      </c>
      <c r="F51" s="83" t="n">
        <v>75</v>
      </c>
      <c r="G51" s="83" t="n">
        <v>85</v>
      </c>
      <c r="H51" s="83" t="n">
        <v>75</v>
      </c>
      <c r="I51" s="83">
        <f>ABS('Student Calculator'!C30-D51)</f>
        <v/>
      </c>
      <c r="J51" s="83">
        <f>ABS('Student Calculator'!D30-E51)</f>
        <v/>
      </c>
      <c r="K51" s="83">
        <f>ABS('Student Calculator'!E30-F51)</f>
        <v/>
      </c>
      <c r="L51" s="83">
        <f>ABS('Student Calculator'!F30-G51)</f>
        <v/>
      </c>
      <c r="M51" s="86">
        <f>ROUND(MAX(0, 100 - (I51*0.25 + J51*0.2 + K51*0.25 + L51*0.2)), 1)</f>
        <v/>
      </c>
      <c r="N51" s="87">
        <f>IF(M51&gt;=72,"🟢 BEST FIT",IF(M51&gt;=52,"🟡 CONSIDER","🔴 MISMATCH"))</f>
        <v/>
      </c>
      <c r="O51" s="88" t="inlineStr">
        <is>
          <t>Any degree + MBA / Mass Comm</t>
        </is>
      </c>
      <c r="P51" s="93" t="inlineStr">
        <is>
          <t>Yes</t>
        </is>
      </c>
      <c r="Q51" s="88" t="inlineStr">
        <is>
          <t>Agency planner route; MICA PGDM; a portfolio of campaign work</t>
        </is>
      </c>
      <c r="R51" s="88" t="inlineStr">
        <is>
          <t>Liberal Arts, Psychology, Commerce, Design</t>
        </is>
      </c>
    </row>
    <row r="52" ht="30" customHeight="1" s="63">
      <c r="A52" s="76" t="n">
        <v>49</v>
      </c>
      <c r="B52" s="77" t="inlineStr">
        <is>
          <t>Digital Marketing Specialist</t>
        </is>
      </c>
      <c r="C52" s="78" t="inlineStr">
        <is>
          <t>Business</t>
        </is>
      </c>
      <c r="D52" s="76" t="n">
        <v>55</v>
      </c>
      <c r="E52" s="76" t="n">
        <v>65</v>
      </c>
      <c r="F52" s="76" t="n">
        <v>70</v>
      </c>
      <c r="G52" s="76" t="n">
        <v>80</v>
      </c>
      <c r="H52" s="76" t="n">
        <v>75</v>
      </c>
      <c r="I52" s="76">
        <f>ABS('Student Calculator'!C30-D52)</f>
        <v/>
      </c>
      <c r="J52" s="76">
        <f>ABS('Student Calculator'!D30-E52)</f>
        <v/>
      </c>
      <c r="K52" s="76">
        <f>ABS('Student Calculator'!E30-F52)</f>
        <v/>
      </c>
      <c r="L52" s="76">
        <f>ABS('Student Calculator'!F30-G52)</f>
        <v/>
      </c>
      <c r="M52" s="79">
        <f>ROUND(MAX(0, 100 - (I52*0.25 + J52*0.2 + K52*0.25 + L52*0.2)), 1)</f>
        <v/>
      </c>
      <c r="N52" s="80">
        <f>IF(M52&gt;=72,"🟢 BEST FIT",IF(M52&gt;=52,"🟡 CONSIDER","🔴 MISMATCH"))</f>
        <v/>
      </c>
      <c r="O52" s="81" t="inlineStr">
        <is>
          <t>Any bachelor's degree</t>
        </is>
      </c>
      <c r="P52" s="92" t="inlineStr">
        <is>
          <t>Yes</t>
        </is>
      </c>
      <c r="Q52" s="81" t="inlineStr">
        <is>
          <t>Google Ads/Analytics, Meta Blueprint and HubSpot certifications — degree is irrelevant</t>
        </is>
      </c>
      <c r="R52" s="81" t="inlineStr">
        <is>
          <t>ANY degree</t>
        </is>
      </c>
    </row>
    <row r="53" ht="30" customHeight="1" s="63">
      <c r="A53" s="83" t="n">
        <v>50</v>
      </c>
      <c r="B53" s="84" t="inlineStr">
        <is>
          <t>Sales Manager</t>
        </is>
      </c>
      <c r="C53" s="85" t="inlineStr">
        <is>
          <t>Business</t>
        </is>
      </c>
      <c r="D53" s="83" t="n">
        <v>75</v>
      </c>
      <c r="E53" s="83" t="n">
        <v>60</v>
      </c>
      <c r="F53" s="83" t="n">
        <v>75</v>
      </c>
      <c r="G53" s="83" t="n">
        <v>75</v>
      </c>
      <c r="H53" s="83" t="n">
        <v>75</v>
      </c>
      <c r="I53" s="83">
        <f>ABS('Student Calculator'!C30-D53)</f>
        <v/>
      </c>
      <c r="J53" s="83">
        <f>ABS('Student Calculator'!D30-E53)</f>
        <v/>
      </c>
      <c r="K53" s="83">
        <f>ABS('Student Calculator'!E30-F53)</f>
        <v/>
      </c>
      <c r="L53" s="83">
        <f>ABS('Student Calculator'!F30-G53)</f>
        <v/>
      </c>
      <c r="M53" s="86">
        <f>ROUND(MAX(0, 100 - (I53*0.25 + J53*0.2 + K53*0.25 + L53*0.2)), 1)</f>
        <v/>
      </c>
      <c r="N53" s="87">
        <f>IF(M53&gt;=72,"🟢 BEST FIT",IF(M53&gt;=52,"🟡 CONSIDER","🔴 MISMATCH"))</f>
        <v/>
      </c>
      <c r="O53" s="88" t="inlineStr">
        <is>
          <t>Any bachelor's degree</t>
        </is>
      </c>
      <c r="P53" s="93" t="inlineStr">
        <is>
          <t>Yes</t>
        </is>
      </c>
      <c r="Q53" s="88" t="inlineStr">
        <is>
          <t>Field sales → team lead → manager; there is no certification gate</t>
        </is>
      </c>
      <c r="R53" s="88" t="inlineStr">
        <is>
          <t>ANY degree</t>
        </is>
      </c>
    </row>
    <row r="54" ht="30" customHeight="1" s="63">
      <c r="A54" s="76" t="n">
        <v>51</v>
      </c>
      <c r="B54" s="77" t="inlineStr">
        <is>
          <t>Retail Manager</t>
        </is>
      </c>
      <c r="C54" s="78" t="inlineStr">
        <is>
          <t>Business</t>
        </is>
      </c>
      <c r="D54" s="76" t="n">
        <v>70</v>
      </c>
      <c r="E54" s="76" t="n">
        <v>65</v>
      </c>
      <c r="F54" s="76" t="n">
        <v>65</v>
      </c>
      <c r="G54" s="76" t="n">
        <v>70</v>
      </c>
      <c r="H54" s="76" t="n">
        <v>70</v>
      </c>
      <c r="I54" s="76">
        <f>ABS('Student Calculator'!C30-D54)</f>
        <v/>
      </c>
      <c r="J54" s="76">
        <f>ABS('Student Calculator'!D30-E54)</f>
        <v/>
      </c>
      <c r="K54" s="76">
        <f>ABS('Student Calculator'!E30-F54)</f>
        <v/>
      </c>
      <c r="L54" s="76">
        <f>ABS('Student Calculator'!F30-G54)</f>
        <v/>
      </c>
      <c r="M54" s="79">
        <f>ROUND(MAX(0, 100 - (I54*0.25 + J54*0.2 + K54*0.25 + L54*0.2)), 1)</f>
        <v/>
      </c>
      <c r="N54" s="80">
        <f>IF(M54&gt;=72,"🟢 BEST FIT",IF(M54&gt;=52,"🟡 CONSIDER","🔴 MISMATCH"))</f>
        <v/>
      </c>
      <c r="O54" s="81" t="inlineStr">
        <is>
          <t>BBA or any degree</t>
        </is>
      </c>
      <c r="P54" s="92" t="inlineStr">
        <is>
          <t>Yes</t>
        </is>
      </c>
      <c r="Q54" s="81" t="inlineStr">
        <is>
          <t>Store executive → manager progression; retail management diploma optional</t>
        </is>
      </c>
      <c r="R54" s="81" t="inlineStr">
        <is>
          <t>ANY degree</t>
        </is>
      </c>
    </row>
    <row r="55" ht="30" customHeight="1" s="63">
      <c r="A55" s="83" t="n">
        <v>52</v>
      </c>
      <c r="B55" s="84" t="inlineStr">
        <is>
          <t>Lawyer/Advocate</t>
        </is>
      </c>
      <c r="C55" s="85" t="inlineStr">
        <is>
          <t>Law</t>
        </is>
      </c>
      <c r="D55" s="83" t="n">
        <v>55</v>
      </c>
      <c r="E55" s="83" t="n">
        <v>70</v>
      </c>
      <c r="F55" s="83" t="n">
        <v>75</v>
      </c>
      <c r="G55" s="83" t="n">
        <v>75</v>
      </c>
      <c r="H55" s="83" t="n">
        <v>85</v>
      </c>
      <c r="I55" s="83">
        <f>ABS('Student Calculator'!C30-D55)</f>
        <v/>
      </c>
      <c r="J55" s="83">
        <f>ABS('Student Calculator'!D30-E55)</f>
        <v/>
      </c>
      <c r="K55" s="83">
        <f>ABS('Student Calculator'!E30-F55)</f>
        <v/>
      </c>
      <c r="L55" s="83">
        <f>ABS('Student Calculator'!F30-G55)</f>
        <v/>
      </c>
      <c r="M55" s="86">
        <f>ROUND(MAX(0, 100 - (I55*0.25 + J55*0.2 + K55*0.25 + L55*0.2)), 1)</f>
        <v/>
      </c>
      <c r="N55" s="87">
        <f>IF(M55&gt;=72,"🟢 BEST FIT",IF(M55&gt;=52,"🟡 CONSIDER","🔴 MISMATCH"))</f>
        <v/>
      </c>
      <c r="O55" s="88" t="inlineStr">
        <is>
          <t>LLB (3 yr after any degree) or 5-yr BA-LLB</t>
        </is>
      </c>
      <c r="P55" s="93" t="inlineStr">
        <is>
          <t>Yes</t>
        </is>
      </c>
      <c r="Q55" s="88" t="inlineStr">
        <is>
          <t>The 3-year LLB is open to ANY graduate → AIBE for bar enrolment</t>
        </is>
      </c>
      <c r="R55" s="88" t="inlineStr">
        <is>
          <t>ANY bachelor's degree via the 3-yr LLB route</t>
        </is>
      </c>
    </row>
    <row r="56" ht="30" customHeight="1" s="63">
      <c r="A56" s="76" t="n">
        <v>53</v>
      </c>
      <c r="B56" s="77" t="inlineStr">
        <is>
          <t>Judge</t>
        </is>
      </c>
      <c r="C56" s="78" t="inlineStr">
        <is>
          <t>Law</t>
        </is>
      </c>
      <c r="D56" s="76" t="n">
        <v>45</v>
      </c>
      <c r="E56" s="76" t="n">
        <v>80</v>
      </c>
      <c r="F56" s="76" t="n">
        <v>70</v>
      </c>
      <c r="G56" s="76" t="n">
        <v>65</v>
      </c>
      <c r="H56" s="76" t="n">
        <v>90</v>
      </c>
      <c r="I56" s="76">
        <f>ABS('Student Calculator'!C30-D56)</f>
        <v/>
      </c>
      <c r="J56" s="76">
        <f>ABS('Student Calculator'!D30-E56)</f>
        <v/>
      </c>
      <c r="K56" s="76">
        <f>ABS('Student Calculator'!E30-F56)</f>
        <v/>
      </c>
      <c r="L56" s="76">
        <f>ABS('Student Calculator'!F30-G56)</f>
        <v/>
      </c>
      <c r="M56" s="79">
        <f>ROUND(MAX(0, 100 - (I56*0.25 + J56*0.2 + K56*0.25 + L56*0.2)), 1)</f>
        <v/>
      </c>
      <c r="N56" s="80">
        <f>IF(M56&gt;=72,"🟢 BEST FIT",IF(M56&gt;=52,"🟡 CONSIDER","🔴 MISMATCH"))</f>
        <v/>
      </c>
      <c r="O56" s="81" t="inlineStr">
        <is>
          <t>LLB → State Judicial Services exam</t>
        </is>
      </c>
      <c r="P56" s="90" t="inlineStr">
        <is>
          <t>Partly</t>
        </is>
      </c>
      <c r="Q56" s="81" t="inlineStr">
        <is>
          <t>3-year LLB after any degree → PCS-J / State Judiciary exam</t>
        </is>
      </c>
      <c r="R56" s="81" t="inlineStr">
        <is>
          <t>ANY degree → LLB → PCS-J</t>
        </is>
      </c>
    </row>
    <row r="57" ht="30" customHeight="1" s="63">
      <c r="A57" s="83" t="n">
        <v>54</v>
      </c>
      <c r="B57" s="84" t="inlineStr">
        <is>
          <t>Corporate Lawyer</t>
        </is>
      </c>
      <c r="C57" s="85" t="inlineStr">
        <is>
          <t>Law</t>
        </is>
      </c>
      <c r="D57" s="83" t="n">
        <v>55</v>
      </c>
      <c r="E57" s="83" t="n">
        <v>80</v>
      </c>
      <c r="F57" s="83" t="n">
        <v>75</v>
      </c>
      <c r="G57" s="83" t="n">
        <v>65</v>
      </c>
      <c r="H57" s="83" t="n">
        <v>90</v>
      </c>
      <c r="I57" s="83">
        <f>ABS('Student Calculator'!C30-D57)</f>
        <v/>
      </c>
      <c r="J57" s="83">
        <f>ABS('Student Calculator'!D30-E57)</f>
        <v/>
      </c>
      <c r="K57" s="83">
        <f>ABS('Student Calculator'!E30-F57)</f>
        <v/>
      </c>
      <c r="L57" s="83">
        <f>ABS('Student Calculator'!F30-G57)</f>
        <v/>
      </c>
      <c r="M57" s="86">
        <f>ROUND(MAX(0, 100 - (I57*0.25 + J57*0.2 + K57*0.25 + L57*0.2)), 1)</f>
        <v/>
      </c>
      <c r="N57" s="87">
        <f>IF(M57&gt;=72,"🟢 BEST FIT",IF(M57&gt;=52,"🟡 CONSIDER","🔴 MISMATCH"))</f>
        <v/>
      </c>
      <c r="O57" s="88" t="inlineStr">
        <is>
          <t>LLB / BA-LLB + corporate practice</t>
        </is>
      </c>
      <c r="P57" s="93" t="inlineStr">
        <is>
          <t>Yes</t>
        </is>
      </c>
      <c r="Q57" s="88" t="inlineStr">
        <is>
          <t>3-yr LLB after any degree; CS-qualified professionals also work in this space</t>
        </is>
      </c>
      <c r="R57" s="88" t="inlineStr">
        <is>
          <t>ANY degree → LLB; also CA and CS professionals</t>
        </is>
      </c>
    </row>
    <row r="58" ht="30" customHeight="1" s="63">
      <c r="A58" s="76" t="n">
        <v>55</v>
      </c>
      <c r="B58" s="77" t="inlineStr">
        <is>
          <t>Criminal Lawyer</t>
        </is>
      </c>
      <c r="C58" s="78" t="inlineStr">
        <is>
          <t>Law</t>
        </is>
      </c>
      <c r="D58" s="76" t="n">
        <v>60</v>
      </c>
      <c r="E58" s="76" t="n">
        <v>65</v>
      </c>
      <c r="F58" s="76" t="n">
        <v>75</v>
      </c>
      <c r="G58" s="76" t="n">
        <v>70</v>
      </c>
      <c r="H58" s="76" t="n">
        <v>85</v>
      </c>
      <c r="I58" s="76">
        <f>ABS('Student Calculator'!C30-D58)</f>
        <v/>
      </c>
      <c r="J58" s="76">
        <f>ABS('Student Calculator'!D30-E58)</f>
        <v/>
      </c>
      <c r="K58" s="76">
        <f>ABS('Student Calculator'!E30-F58)</f>
        <v/>
      </c>
      <c r="L58" s="76">
        <f>ABS('Student Calculator'!F30-G58)</f>
        <v/>
      </c>
      <c r="M58" s="79">
        <f>ROUND(MAX(0, 100 - (I58*0.25 + J58*0.2 + K58*0.25 + L58*0.2)), 1)</f>
        <v/>
      </c>
      <c r="N58" s="80">
        <f>IF(M58&gt;=72,"🟢 BEST FIT",IF(M58&gt;=52,"🟡 CONSIDER","🔴 MISMATCH"))</f>
        <v/>
      </c>
      <c r="O58" s="81" t="inlineStr">
        <is>
          <t>LLB → bar enrolment</t>
        </is>
      </c>
      <c r="P58" s="92" t="inlineStr">
        <is>
          <t>Yes</t>
        </is>
      </c>
      <c r="Q58" s="81" t="inlineStr">
        <is>
          <t>3-yr LLB after any degree → AIBE → chamber apprenticeship under a senior</t>
        </is>
      </c>
      <c r="R58" s="81" t="inlineStr">
        <is>
          <t>ANY degree → LLB</t>
        </is>
      </c>
    </row>
    <row r="59" ht="30" customHeight="1" s="63">
      <c r="A59" s="83" t="n">
        <v>56</v>
      </c>
      <c r="B59" s="84" t="inlineStr">
        <is>
          <t>Human Rights Lawyer</t>
        </is>
      </c>
      <c r="C59" s="85" t="inlineStr">
        <is>
          <t>Law</t>
        </is>
      </c>
      <c r="D59" s="83" t="n">
        <v>40</v>
      </c>
      <c r="E59" s="83" t="n">
        <v>65</v>
      </c>
      <c r="F59" s="83" t="n">
        <v>85</v>
      </c>
      <c r="G59" s="83" t="n">
        <v>70</v>
      </c>
      <c r="H59" s="83" t="n">
        <v>85</v>
      </c>
      <c r="I59" s="83">
        <f>ABS('Student Calculator'!C30-D59)</f>
        <v/>
      </c>
      <c r="J59" s="83">
        <f>ABS('Student Calculator'!D30-E59)</f>
        <v/>
      </c>
      <c r="K59" s="83">
        <f>ABS('Student Calculator'!E30-F59)</f>
        <v/>
      </c>
      <c r="L59" s="83">
        <f>ABS('Student Calculator'!F30-G59)</f>
        <v/>
      </c>
      <c r="M59" s="86">
        <f>ROUND(MAX(0, 100 - (I59*0.25 + J59*0.2 + K59*0.25 + L59*0.2)), 1)</f>
        <v/>
      </c>
      <c r="N59" s="87">
        <f>IF(M59&gt;=72,"🟢 BEST FIT",IF(M59&gt;=52,"🟡 CONSIDER","🔴 MISMATCH"))</f>
        <v/>
      </c>
      <c r="O59" s="88" t="inlineStr">
        <is>
          <t>LLB + LLM / PG Diploma in Human Rights</t>
        </is>
      </c>
      <c r="P59" s="93" t="inlineStr">
        <is>
          <t>Yes</t>
        </is>
      </c>
      <c r="Q59" s="88" t="inlineStr">
        <is>
          <t>3-yr LLB after any degree; NGO legal roles also take MSW and policy graduates</t>
        </is>
      </c>
      <c r="R59" s="88" t="inlineStr">
        <is>
          <t>ANY degree → LLB; Sociology, Political Science, MSW</t>
        </is>
      </c>
    </row>
    <row r="60" ht="30" customHeight="1" s="63">
      <c r="A60" s="76" t="n">
        <v>57</v>
      </c>
      <c r="B60" s="77" t="inlineStr">
        <is>
          <t>IAS / IPS Officer</t>
        </is>
      </c>
      <c r="C60" s="78" t="inlineStr">
        <is>
          <t>Civil Services</t>
        </is>
      </c>
      <c r="D60" s="76" t="n">
        <v>60</v>
      </c>
      <c r="E60" s="76" t="n">
        <v>75</v>
      </c>
      <c r="F60" s="76" t="n">
        <v>80</v>
      </c>
      <c r="G60" s="76" t="n">
        <v>70</v>
      </c>
      <c r="H60" s="76" t="n">
        <v>90</v>
      </c>
      <c r="I60" s="76">
        <f>ABS('Student Calculator'!C30-D60)</f>
        <v/>
      </c>
      <c r="J60" s="76">
        <f>ABS('Student Calculator'!D30-E60)</f>
        <v/>
      </c>
      <c r="K60" s="76">
        <f>ABS('Student Calculator'!E30-F60)</f>
        <v/>
      </c>
      <c r="L60" s="76">
        <f>ABS('Student Calculator'!F30-G60)</f>
        <v/>
      </c>
      <c r="M60" s="79">
        <f>ROUND(MAX(0, 100 - (I60*0.25 + J60*0.2 + K60*0.25 + L60*0.2)), 1)</f>
        <v/>
      </c>
      <c r="N60" s="80">
        <f>IF(M60&gt;=72,"🟢 BEST FIT",IF(M60&gt;=52,"🟡 CONSIDER","🔴 MISMATCH"))</f>
        <v/>
      </c>
      <c r="O60" s="81" t="inlineStr">
        <is>
          <t>Any bachelor's degree + UPSC CSE</t>
        </is>
      </c>
      <c r="P60" s="92" t="inlineStr">
        <is>
          <t>Yes</t>
        </is>
      </c>
      <c r="Q60" s="81" t="inlineStr">
        <is>
          <t>UPSC CSE is open to ANY graduate, and the optional subject can be from any discipline</t>
        </is>
      </c>
      <c r="R60" s="81" t="inlineStr">
        <is>
          <t>ANY degree — Engineering, Medicine, Arts and Commerce grads all clear it</t>
        </is>
      </c>
    </row>
    <row r="61" ht="30" customHeight="1" s="63">
      <c r="A61" s="83" t="n">
        <v>58</v>
      </c>
      <c r="B61" s="84" t="inlineStr">
        <is>
          <t>Diplomat/IFS Officer</t>
        </is>
      </c>
      <c r="C61" s="85" t="inlineStr">
        <is>
          <t>Civil Services</t>
        </is>
      </c>
      <c r="D61" s="83" t="n">
        <v>55</v>
      </c>
      <c r="E61" s="83" t="n">
        <v>70</v>
      </c>
      <c r="F61" s="83" t="n">
        <v>80</v>
      </c>
      <c r="G61" s="83" t="n">
        <v>70</v>
      </c>
      <c r="H61" s="83" t="n">
        <v>90</v>
      </c>
      <c r="I61" s="83">
        <f>ABS('Student Calculator'!C30-D61)</f>
        <v/>
      </c>
      <c r="J61" s="83">
        <f>ABS('Student Calculator'!D30-E61)</f>
        <v/>
      </c>
      <c r="K61" s="83">
        <f>ABS('Student Calculator'!E30-F61)</f>
        <v/>
      </c>
      <c r="L61" s="83">
        <f>ABS('Student Calculator'!F30-G61)</f>
        <v/>
      </c>
      <c r="M61" s="86">
        <f>ROUND(MAX(0, 100 - (I61*0.25 + J61*0.2 + K61*0.25 + L61*0.2)), 1)</f>
        <v/>
      </c>
      <c r="N61" s="87">
        <f>IF(M61&gt;=72,"🟢 BEST FIT",IF(M61&gt;=52,"🟡 CONSIDER","🔴 MISMATCH"))</f>
        <v/>
      </c>
      <c r="O61" s="88" t="inlineStr">
        <is>
          <t>Any bachelor's degree + UPSC CSE</t>
        </is>
      </c>
      <c r="P61" s="93" t="inlineStr">
        <is>
          <t>Yes</t>
        </is>
      </c>
      <c r="Q61" s="88" t="inlineStr">
        <is>
          <t>UPSC CSE; IFS is allotted by rank and service preference — any degree is eligible</t>
        </is>
      </c>
      <c r="R61" s="88" t="inlineStr">
        <is>
          <t>ANY degree</t>
        </is>
      </c>
    </row>
    <row r="62" ht="30" customHeight="1" s="63">
      <c r="A62" s="76" t="n">
        <v>59</v>
      </c>
      <c r="B62" s="77" t="inlineStr">
        <is>
          <t>Policy Analyst</t>
        </is>
      </c>
      <c r="C62" s="78" t="inlineStr">
        <is>
          <t>Government</t>
        </is>
      </c>
      <c r="D62" s="76" t="n">
        <v>45</v>
      </c>
      <c r="E62" s="76" t="n">
        <v>85</v>
      </c>
      <c r="F62" s="76" t="n">
        <v>80</v>
      </c>
      <c r="G62" s="76" t="n">
        <v>65</v>
      </c>
      <c r="H62" s="76" t="n">
        <v>90</v>
      </c>
      <c r="I62" s="76">
        <f>ABS('Student Calculator'!C30-D62)</f>
        <v/>
      </c>
      <c r="J62" s="76">
        <f>ABS('Student Calculator'!D30-E62)</f>
        <v/>
      </c>
      <c r="K62" s="76">
        <f>ABS('Student Calculator'!E30-F62)</f>
        <v/>
      </c>
      <c r="L62" s="76">
        <f>ABS('Student Calculator'!F30-G62)</f>
        <v/>
      </c>
      <c r="M62" s="79">
        <f>ROUND(MAX(0, 100 - (I62*0.25 + J62*0.2 + K62*0.25 + L62*0.2)), 1)</f>
        <v/>
      </c>
      <c r="N62" s="80">
        <f>IF(M62&gt;=72,"🟢 BEST FIT",IF(M62&gt;=52,"🟡 CONSIDER","🔴 MISMATCH"))</f>
        <v/>
      </c>
      <c r="O62" s="81" t="inlineStr">
        <is>
          <t>Any degree + MA Public Policy</t>
        </is>
      </c>
      <c r="P62" s="92" t="inlineStr">
        <is>
          <t>Yes</t>
        </is>
      </c>
      <c r="Q62" s="81" t="inlineStr">
        <is>
          <t>MPP/MA Public Policy (NLSIU, Ashoka, IIM), or think-tank research associate roles</t>
        </is>
      </c>
      <c r="R62" s="81" t="inlineStr">
        <is>
          <t>Economics, Political Science, Engineering, Law, ANY degree</t>
        </is>
      </c>
    </row>
    <row r="63" ht="30" customHeight="1" s="63">
      <c r="A63" s="83" t="n">
        <v>60</v>
      </c>
      <c r="B63" s="84" t="inlineStr">
        <is>
          <t>Urban Planner</t>
        </is>
      </c>
      <c r="C63" s="85" t="inlineStr">
        <is>
          <t>Government</t>
        </is>
      </c>
      <c r="D63" s="83" t="n">
        <v>60</v>
      </c>
      <c r="E63" s="83" t="n">
        <v>80</v>
      </c>
      <c r="F63" s="83" t="n">
        <v>75</v>
      </c>
      <c r="G63" s="83" t="n">
        <v>70</v>
      </c>
      <c r="H63" s="83" t="n">
        <v>85</v>
      </c>
      <c r="I63" s="83">
        <f>ABS('Student Calculator'!C30-D63)</f>
        <v/>
      </c>
      <c r="J63" s="83">
        <f>ABS('Student Calculator'!D30-E63)</f>
        <v/>
      </c>
      <c r="K63" s="83">
        <f>ABS('Student Calculator'!E30-F63)</f>
        <v/>
      </c>
      <c r="L63" s="83">
        <f>ABS('Student Calculator'!F30-G63)</f>
        <v/>
      </c>
      <c r="M63" s="86">
        <f>ROUND(MAX(0, 100 - (I63*0.25 + J63*0.2 + K63*0.25 + L63*0.2)), 1)</f>
        <v/>
      </c>
      <c r="N63" s="87">
        <f>IF(M63&gt;=72,"🟢 BEST FIT",IF(M63&gt;=52,"🟡 CONSIDER","🔴 MISMATCH"))</f>
        <v/>
      </c>
      <c r="O63" s="88" t="inlineStr">
        <is>
          <t>B.Arch / B.Plan → M.Plan</t>
        </is>
      </c>
      <c r="P63" s="91" t="inlineStr">
        <is>
          <t>Partly</t>
        </is>
      </c>
      <c r="Q63" s="88" t="inlineStr">
        <is>
          <t>M.Plan via GATE-AR — open to B.Arch, Civil Engineering, Geography and Economics graduates</t>
        </is>
      </c>
      <c r="R63" s="88" t="inlineStr">
        <is>
          <t>B.Arch, BE Civil, BA Geography/Economics</t>
        </is>
      </c>
    </row>
    <row r="64" ht="30" customHeight="1" s="63">
      <c r="A64" s="76" t="n">
        <v>61</v>
      </c>
      <c r="B64" s="77" t="inlineStr">
        <is>
          <t>Military Officer</t>
        </is>
      </c>
      <c r="C64" s="78" t="inlineStr">
        <is>
          <t>Defence</t>
        </is>
      </c>
      <c r="D64" s="76" t="n">
        <v>85</v>
      </c>
      <c r="E64" s="76" t="n">
        <v>70</v>
      </c>
      <c r="F64" s="76" t="n">
        <v>75</v>
      </c>
      <c r="G64" s="76" t="n">
        <v>65</v>
      </c>
      <c r="H64" s="76" t="n">
        <v>85</v>
      </c>
      <c r="I64" s="76">
        <f>ABS('Student Calculator'!C30-D64)</f>
        <v/>
      </c>
      <c r="J64" s="76">
        <f>ABS('Student Calculator'!D30-E64)</f>
        <v/>
      </c>
      <c r="K64" s="76">
        <f>ABS('Student Calculator'!E30-F64)</f>
        <v/>
      </c>
      <c r="L64" s="76">
        <f>ABS('Student Calculator'!F30-G64)</f>
        <v/>
      </c>
      <c r="M64" s="79">
        <f>ROUND(MAX(0, 100 - (I64*0.25 + J64*0.2 + K64*0.25 + L64*0.2)), 1)</f>
        <v/>
      </c>
      <c r="N64" s="80">
        <f>IF(M64&gt;=72,"🟢 BEST FIT",IF(M64&gt;=52,"🟡 CONSIDER","🔴 MISMATCH"))</f>
        <v/>
      </c>
      <c r="O64" s="81" t="inlineStr">
        <is>
          <t>Any degree + CDS/AFCAT (or NDA after Class 12)</t>
        </is>
      </c>
      <c r="P64" s="92" t="inlineStr">
        <is>
          <t>Yes</t>
        </is>
      </c>
      <c r="Q64" s="81" t="inlineStr">
        <is>
          <t>NDA after Class 12; CDS, AFCAT and TES after graduation — most streams are eligible</t>
        </is>
      </c>
      <c r="R64" s="81" t="inlineStr">
        <is>
          <t>ANY degree (technical entries require BE/B.Tech)</t>
        </is>
      </c>
    </row>
    <row r="65" ht="30" customHeight="1" s="63">
      <c r="A65" s="83" t="n">
        <v>62</v>
      </c>
      <c r="B65" s="84" t="inlineStr">
        <is>
          <t>Police Officer</t>
        </is>
      </c>
      <c r="C65" s="85" t="inlineStr">
        <is>
          <t>Defence</t>
        </is>
      </c>
      <c r="D65" s="83" t="n">
        <v>85</v>
      </c>
      <c r="E65" s="83" t="n">
        <v>65</v>
      </c>
      <c r="F65" s="83" t="n">
        <v>70</v>
      </c>
      <c r="G65" s="83" t="n">
        <v>65</v>
      </c>
      <c r="H65" s="83" t="n">
        <v>80</v>
      </c>
      <c r="I65" s="83">
        <f>ABS('Student Calculator'!C30-D65)</f>
        <v/>
      </c>
      <c r="J65" s="83">
        <f>ABS('Student Calculator'!D30-E65)</f>
        <v/>
      </c>
      <c r="K65" s="83">
        <f>ABS('Student Calculator'!E30-F65)</f>
        <v/>
      </c>
      <c r="L65" s="83">
        <f>ABS('Student Calculator'!F30-G65)</f>
        <v/>
      </c>
      <c r="M65" s="86">
        <f>ROUND(MAX(0, 100 - (I65*0.25 + J65*0.2 + K65*0.25 + L65*0.2)), 1)</f>
        <v/>
      </c>
      <c r="N65" s="87">
        <f>IF(M65&gt;=72,"🟢 BEST FIT",IF(M65&gt;=52,"🟡 CONSIDER","🔴 MISMATCH"))</f>
        <v/>
      </c>
      <c r="O65" s="88" t="inlineStr">
        <is>
          <t>Any degree + UPSC / State PSC / SI exam</t>
        </is>
      </c>
      <c r="P65" s="93" t="inlineStr">
        <is>
          <t>Yes</t>
        </is>
      </c>
      <c r="Q65" s="88" t="inlineStr">
        <is>
          <t>State Sub-Inspector exams and UPSC CSE are both open to any graduate</t>
        </is>
      </c>
      <c r="R65" s="88" t="inlineStr">
        <is>
          <t>ANY degree</t>
        </is>
      </c>
    </row>
    <row r="66" ht="30" customHeight="1" s="63">
      <c r="A66" s="76" t="n">
        <v>63</v>
      </c>
      <c r="B66" s="77" t="inlineStr">
        <is>
          <t>School Teacher</t>
        </is>
      </c>
      <c r="C66" s="78" t="inlineStr">
        <is>
          <t>Education</t>
        </is>
      </c>
      <c r="D66" s="76" t="n">
        <v>45</v>
      </c>
      <c r="E66" s="76" t="n">
        <v>65</v>
      </c>
      <c r="F66" s="76" t="n">
        <v>80</v>
      </c>
      <c r="G66" s="76" t="n">
        <v>80</v>
      </c>
      <c r="H66" s="76" t="n">
        <v>75</v>
      </c>
      <c r="I66" s="76">
        <f>ABS('Student Calculator'!C30-D66)</f>
        <v/>
      </c>
      <c r="J66" s="76">
        <f>ABS('Student Calculator'!D30-E66)</f>
        <v/>
      </c>
      <c r="K66" s="76">
        <f>ABS('Student Calculator'!E30-F66)</f>
        <v/>
      </c>
      <c r="L66" s="76">
        <f>ABS('Student Calculator'!F30-G66)</f>
        <v/>
      </c>
      <c r="M66" s="79">
        <f>ROUND(MAX(0, 100 - (I66*0.25 + J66*0.2 + K66*0.25 + L66*0.2)), 1)</f>
        <v/>
      </c>
      <c r="N66" s="80">
        <f>IF(M66&gt;=72,"🟢 BEST FIT",IF(M66&gt;=52,"🟡 CONSIDER","🔴 MISMATCH"))</f>
        <v/>
      </c>
      <c r="O66" s="81" t="inlineStr">
        <is>
          <t>Any degree + B.Ed + CTET/TET</t>
        </is>
      </c>
      <c r="P66" s="92" t="inlineStr">
        <is>
          <t>Yes</t>
        </is>
      </c>
      <c r="Q66" s="81" t="inlineStr">
        <is>
          <t>B.Ed (2 yr) after ANY bachelor's → CTET or State TET</t>
        </is>
      </c>
      <c r="R66" s="81" t="inlineStr">
        <is>
          <t>ANY degree — the teaching subject matters more than the stream</t>
        </is>
      </c>
    </row>
    <row r="67" ht="30" customHeight="1" s="63">
      <c r="A67" s="83" t="n">
        <v>64</v>
      </c>
      <c r="B67" s="84" t="inlineStr">
        <is>
          <t>Professor/Academic</t>
        </is>
      </c>
      <c r="C67" s="85" t="inlineStr">
        <is>
          <t>Education</t>
        </is>
      </c>
      <c r="D67" s="83" t="n">
        <v>35</v>
      </c>
      <c r="E67" s="83" t="n">
        <v>85</v>
      </c>
      <c r="F67" s="83" t="n">
        <v>85</v>
      </c>
      <c r="G67" s="83" t="n">
        <v>70</v>
      </c>
      <c r="H67" s="83" t="n">
        <v>85</v>
      </c>
      <c r="I67" s="83">
        <f>ABS('Student Calculator'!C30-D67)</f>
        <v/>
      </c>
      <c r="J67" s="83">
        <f>ABS('Student Calculator'!D30-E67)</f>
        <v/>
      </c>
      <c r="K67" s="83">
        <f>ABS('Student Calculator'!E30-F67)</f>
        <v/>
      </c>
      <c r="L67" s="83">
        <f>ABS('Student Calculator'!F30-G67)</f>
        <v/>
      </c>
      <c r="M67" s="86">
        <f>ROUND(MAX(0, 100 - (I67*0.25 + J67*0.2 + K67*0.25 + L67*0.2)), 1)</f>
        <v/>
      </c>
      <c r="N67" s="87">
        <f>IF(M67&gt;=72,"🟢 BEST FIT",IF(M67&gt;=52,"🟡 CONSIDER","🔴 MISMATCH"))</f>
        <v/>
      </c>
      <c r="O67" s="88" t="inlineStr">
        <is>
          <t>Master's in the subject + NET / PhD</t>
        </is>
      </c>
      <c r="P67" s="91" t="inlineStr">
        <is>
          <t>Partly</t>
        </is>
      </c>
      <c r="Q67" s="88" t="inlineStr">
        <is>
          <t>UGC-NET/JRF then PhD; entry is subject-locked rather than degree-locked</t>
        </is>
      </c>
      <c r="R67" s="88" t="inlineStr">
        <is>
          <t>ANY master's in the subject taught</t>
        </is>
      </c>
    </row>
    <row r="68" ht="30" customHeight="1" s="63">
      <c r="A68" s="76" t="n">
        <v>65</v>
      </c>
      <c r="B68" s="77" t="inlineStr">
        <is>
          <t>Education Technology Designer</t>
        </is>
      </c>
      <c r="C68" s="78" t="inlineStr">
        <is>
          <t>Education</t>
        </is>
      </c>
      <c r="D68" s="76" t="n">
        <v>45</v>
      </c>
      <c r="E68" s="76" t="n">
        <v>75</v>
      </c>
      <c r="F68" s="76" t="n">
        <v>80</v>
      </c>
      <c r="G68" s="76" t="n">
        <v>80</v>
      </c>
      <c r="H68" s="76" t="n">
        <v>80</v>
      </c>
      <c r="I68" s="76">
        <f>ABS('Student Calculator'!C30-D68)</f>
        <v/>
      </c>
      <c r="J68" s="76">
        <f>ABS('Student Calculator'!D30-E68)</f>
        <v/>
      </c>
      <c r="K68" s="76">
        <f>ABS('Student Calculator'!E30-F68)</f>
        <v/>
      </c>
      <c r="L68" s="76">
        <f>ABS('Student Calculator'!F30-G68)</f>
        <v/>
      </c>
      <c r="M68" s="79">
        <f>ROUND(MAX(0, 100 - (I68*0.25 + J68*0.2 + K68*0.25 + L68*0.2)), 1)</f>
        <v/>
      </c>
      <c r="N68" s="80">
        <f>IF(M68&gt;=72,"🟢 BEST FIT",IF(M68&gt;=52,"🟡 CONSIDER","🔴 MISMATCH"))</f>
        <v/>
      </c>
      <c r="O68" s="81" t="inlineStr">
        <is>
          <t>Any degree + instructional design skills</t>
        </is>
      </c>
      <c r="P68" s="92" t="inlineStr">
        <is>
          <t>Yes</t>
        </is>
      </c>
      <c r="Q68" s="81" t="inlineStr">
        <is>
          <t>Instructional design certification plus a portfolio of built courses</t>
        </is>
      </c>
      <c r="R68" s="81" t="inlineStr">
        <is>
          <t>Education, Design, Technology, or any subject-matter degree</t>
        </is>
      </c>
    </row>
    <row r="69" ht="30" customHeight="1" s="63">
      <c r="A69" s="83" t="n">
        <v>66</v>
      </c>
      <c r="B69" s="84" t="inlineStr">
        <is>
          <t>Special Educator</t>
        </is>
      </c>
      <c r="C69" s="85" t="inlineStr">
        <is>
          <t>Education</t>
        </is>
      </c>
      <c r="D69" s="83" t="n">
        <v>50</v>
      </c>
      <c r="E69" s="83" t="n">
        <v>65</v>
      </c>
      <c r="F69" s="83" t="n">
        <v>85</v>
      </c>
      <c r="G69" s="83" t="n">
        <v>80</v>
      </c>
      <c r="H69" s="83" t="n">
        <v>70</v>
      </c>
      <c r="I69" s="83">
        <f>ABS('Student Calculator'!C30-D69)</f>
        <v/>
      </c>
      <c r="J69" s="83">
        <f>ABS('Student Calculator'!D30-E69)</f>
        <v/>
      </c>
      <c r="K69" s="83">
        <f>ABS('Student Calculator'!E30-F69)</f>
        <v/>
      </c>
      <c r="L69" s="83">
        <f>ABS('Student Calculator'!F30-G69)</f>
        <v/>
      </c>
      <c r="M69" s="86">
        <f>ROUND(MAX(0, 100 - (I69*0.25 + J69*0.2 + K69*0.25 + L69*0.2)), 1)</f>
        <v/>
      </c>
      <c r="N69" s="87">
        <f>IF(M69&gt;=72,"🟢 BEST FIT",IF(M69&gt;=52,"🟡 CONSIDER","🔴 MISMATCH"))</f>
        <v/>
      </c>
      <c r="O69" s="88" t="inlineStr">
        <is>
          <t>Any degree + RCI-approved B.Ed Special Education</t>
        </is>
      </c>
      <c r="P69" s="93" t="inlineStr">
        <is>
          <t>Yes</t>
        </is>
      </c>
      <c r="Q69" s="88" t="inlineStr">
        <is>
          <t>RCI B.Ed (Special Education) or RCI Diploma; RCI registration is the actual requirement</t>
        </is>
      </c>
      <c r="R69" s="88" t="inlineStr">
        <is>
          <t>ANY degree; Psychology and MSW are common</t>
        </is>
      </c>
    </row>
    <row r="70" ht="30" customHeight="1" s="63">
      <c r="A70" s="76" t="n">
        <v>67</v>
      </c>
      <c r="B70" s="77" t="inlineStr">
        <is>
          <t>Social Worker</t>
        </is>
      </c>
      <c r="C70" s="78" t="inlineStr">
        <is>
          <t>Social</t>
        </is>
      </c>
      <c r="D70" s="76" t="n">
        <v>40</v>
      </c>
      <c r="E70" s="76" t="n">
        <v>60</v>
      </c>
      <c r="F70" s="76" t="n">
        <v>85</v>
      </c>
      <c r="G70" s="76" t="n">
        <v>80</v>
      </c>
      <c r="H70" s="76" t="n">
        <v>65</v>
      </c>
      <c r="I70" s="76">
        <f>ABS('Student Calculator'!C30-D70)</f>
        <v/>
      </c>
      <c r="J70" s="76">
        <f>ABS('Student Calculator'!D30-E70)</f>
        <v/>
      </c>
      <c r="K70" s="76">
        <f>ABS('Student Calculator'!E30-F70)</f>
        <v/>
      </c>
      <c r="L70" s="76">
        <f>ABS('Student Calculator'!F30-G70)</f>
        <v/>
      </c>
      <c r="M70" s="79">
        <f>ROUND(MAX(0, 100 - (I70*0.25 + J70*0.2 + K70*0.25 + L70*0.2)), 1)</f>
        <v/>
      </c>
      <c r="N70" s="80">
        <f>IF(M70&gt;=72,"🟢 BEST FIT",IF(M70&gt;=52,"🟡 CONSIDER","🔴 MISMATCH"))</f>
        <v/>
      </c>
      <c r="O70" s="81" t="inlineStr">
        <is>
          <t>BSW or MSW</t>
        </is>
      </c>
      <c r="P70" s="92" t="inlineStr">
        <is>
          <t>Yes</t>
        </is>
      </c>
      <c r="Q70" s="81" t="inlineStr">
        <is>
          <t>MSW (TISS and most universities) is open to ANY bachelor's degree</t>
        </is>
      </c>
      <c r="R70" s="81" t="inlineStr">
        <is>
          <t>ANY degree → MSW</t>
        </is>
      </c>
    </row>
    <row r="71" ht="30" customHeight="1" s="63">
      <c r="A71" s="83" t="n">
        <v>68</v>
      </c>
      <c r="B71" s="84" t="inlineStr">
        <is>
          <t>NGO Programme Manager</t>
        </is>
      </c>
      <c r="C71" s="85" t="inlineStr">
        <is>
          <t>Social</t>
        </is>
      </c>
      <c r="D71" s="83" t="n">
        <v>45</v>
      </c>
      <c r="E71" s="83" t="n">
        <v>65</v>
      </c>
      <c r="F71" s="83" t="n">
        <v>85</v>
      </c>
      <c r="G71" s="83" t="n">
        <v>75</v>
      </c>
      <c r="H71" s="83" t="n">
        <v>75</v>
      </c>
      <c r="I71" s="83">
        <f>ABS('Student Calculator'!C30-D71)</f>
        <v/>
      </c>
      <c r="J71" s="83">
        <f>ABS('Student Calculator'!D30-E71)</f>
        <v/>
      </c>
      <c r="K71" s="83">
        <f>ABS('Student Calculator'!E30-F71)</f>
        <v/>
      </c>
      <c r="L71" s="83">
        <f>ABS('Student Calculator'!F30-G71)</f>
        <v/>
      </c>
      <c r="M71" s="86">
        <f>ROUND(MAX(0, 100 - (I71*0.25 + J71*0.2 + K71*0.25 + L71*0.2)), 1)</f>
        <v/>
      </c>
      <c r="N71" s="87">
        <f>IF(M71&gt;=72,"🟢 BEST FIT",IF(M71&gt;=52,"🟡 CONSIDER","🔴 MISMATCH"))</f>
        <v/>
      </c>
      <c r="O71" s="88" t="inlineStr">
        <is>
          <t>Any degree + MSW / MA Development</t>
        </is>
      </c>
      <c r="P71" s="93" t="inlineStr">
        <is>
          <t>Yes</t>
        </is>
      </c>
      <c r="Q71" s="88" t="inlineStr">
        <is>
          <t>MA Development Studies, MSW, or documented field experience with a grassroots org</t>
        </is>
      </c>
      <c r="R71" s="88" t="inlineStr">
        <is>
          <t>ANY degree</t>
        </is>
      </c>
    </row>
    <row r="72" ht="30" customHeight="1" s="63">
      <c r="A72" s="76" t="n">
        <v>69</v>
      </c>
      <c r="B72" s="77" t="inlineStr">
        <is>
          <t>Community Development Officer</t>
        </is>
      </c>
      <c r="C72" s="78" t="inlineStr">
        <is>
          <t>Social</t>
        </is>
      </c>
      <c r="D72" s="76" t="n">
        <v>45</v>
      </c>
      <c r="E72" s="76" t="n">
        <v>60</v>
      </c>
      <c r="F72" s="76" t="n">
        <v>80</v>
      </c>
      <c r="G72" s="76" t="n">
        <v>75</v>
      </c>
      <c r="H72" s="76" t="n">
        <v>70</v>
      </c>
      <c r="I72" s="76">
        <f>ABS('Student Calculator'!C30-D72)</f>
        <v/>
      </c>
      <c r="J72" s="76">
        <f>ABS('Student Calculator'!D30-E72)</f>
        <v/>
      </c>
      <c r="K72" s="76">
        <f>ABS('Student Calculator'!E30-F72)</f>
        <v/>
      </c>
      <c r="L72" s="76">
        <f>ABS('Student Calculator'!F30-G72)</f>
        <v/>
      </c>
      <c r="M72" s="79">
        <f>ROUND(MAX(0, 100 - (I72*0.25 + J72*0.2 + K72*0.25 + L72*0.2)), 1)</f>
        <v/>
      </c>
      <c r="N72" s="80">
        <f>IF(M72&gt;=72,"🟢 BEST FIT",IF(M72&gt;=52,"🟡 CONSIDER","🔴 MISMATCH"))</f>
        <v/>
      </c>
      <c r="O72" s="81" t="inlineStr">
        <is>
          <t>Any degree + MSW / MA Rural Development</t>
        </is>
      </c>
      <c r="P72" s="92" t="inlineStr">
        <is>
          <t>Yes</t>
        </is>
      </c>
      <c r="Q72" s="81" t="inlineStr">
        <is>
          <t>MA Rural Development or MSW; State rural-development recruitment</t>
        </is>
      </c>
      <c r="R72" s="81" t="inlineStr">
        <is>
          <t>ANY degree</t>
        </is>
      </c>
    </row>
    <row r="73" ht="30" customHeight="1" s="63">
      <c r="A73" s="83" t="n">
        <v>70</v>
      </c>
      <c r="B73" s="84" t="inlineStr">
        <is>
          <t>Counselor/Therapist</t>
        </is>
      </c>
      <c r="C73" s="85" t="inlineStr">
        <is>
          <t>Psychology</t>
        </is>
      </c>
      <c r="D73" s="83" t="n">
        <v>40</v>
      </c>
      <c r="E73" s="83" t="n">
        <v>65</v>
      </c>
      <c r="F73" s="83" t="n">
        <v>85</v>
      </c>
      <c r="G73" s="83" t="n">
        <v>80</v>
      </c>
      <c r="H73" s="83" t="n">
        <v>75</v>
      </c>
      <c r="I73" s="83">
        <f>ABS('Student Calculator'!C30-D73)</f>
        <v/>
      </c>
      <c r="J73" s="83">
        <f>ABS('Student Calculator'!D30-E73)</f>
        <v/>
      </c>
      <c r="K73" s="83">
        <f>ABS('Student Calculator'!E30-F73)</f>
        <v/>
      </c>
      <c r="L73" s="83">
        <f>ABS('Student Calculator'!F30-G73)</f>
        <v/>
      </c>
      <c r="M73" s="86">
        <f>ROUND(MAX(0, 100 - (I73*0.25 + J73*0.2 + K73*0.25 + L73*0.2)), 1)</f>
        <v/>
      </c>
      <c r="N73" s="87">
        <f>IF(M73&gt;=72,"🟢 BEST FIT",IF(M73&gt;=52,"🟡 CONSIDER","🔴 MISMATCH"))</f>
        <v/>
      </c>
      <c r="O73" s="88" t="inlineStr">
        <is>
          <t>BA/B.Sc Psychology → MA + counselling training</t>
        </is>
      </c>
      <c r="P73" s="91" t="inlineStr">
        <is>
          <t>Partly</t>
        </is>
      </c>
      <c r="Q73" s="88" t="inlineStr">
        <is>
          <t>MA Psychology is open to any graduate at most universities, then supervised practice hours</t>
        </is>
      </c>
      <c r="R73" s="88" t="inlineStr">
        <is>
          <t>ANY degree → MA Psychology; MSW is also a valid route</t>
        </is>
      </c>
    </row>
    <row r="74" ht="30" customHeight="1" s="63">
      <c r="A74" s="76" t="n">
        <v>71</v>
      </c>
      <c r="B74" s="77" t="inlineStr">
        <is>
          <t>Life Coach</t>
        </is>
      </c>
      <c r="C74" s="78" t="inlineStr">
        <is>
          <t>Psychology</t>
        </is>
      </c>
      <c r="D74" s="76" t="n">
        <v>50</v>
      </c>
      <c r="E74" s="76" t="n">
        <v>60</v>
      </c>
      <c r="F74" s="76" t="n">
        <v>85</v>
      </c>
      <c r="G74" s="76" t="n">
        <v>80</v>
      </c>
      <c r="H74" s="76" t="n">
        <v>70</v>
      </c>
      <c r="I74" s="76">
        <f>ABS('Student Calculator'!C30-D74)</f>
        <v/>
      </c>
      <c r="J74" s="76">
        <f>ABS('Student Calculator'!D30-E74)</f>
        <v/>
      </c>
      <c r="K74" s="76">
        <f>ABS('Student Calculator'!E30-F74)</f>
        <v/>
      </c>
      <c r="L74" s="76">
        <f>ABS('Student Calculator'!F30-G74)</f>
        <v/>
      </c>
      <c r="M74" s="79">
        <f>ROUND(MAX(0, 100 - (I74*0.25 + J74*0.2 + K74*0.25 + L74*0.2)), 1)</f>
        <v/>
      </c>
      <c r="N74" s="80">
        <f>IF(M74&gt;=72,"🟢 BEST FIT",IF(M74&gt;=52,"🟡 CONSIDER","🔴 MISMATCH"))</f>
        <v/>
      </c>
      <c r="O74" s="81" t="inlineStr">
        <is>
          <t>No formal degree required</t>
        </is>
      </c>
      <c r="P74" s="92" t="inlineStr">
        <is>
          <t>Yes</t>
        </is>
      </c>
      <c r="Q74" s="81" t="inlineStr">
        <is>
          <t>ICF-accredited coach certification; credibility comes from prior domain expertise</t>
        </is>
      </c>
      <c r="R74" s="81" t="inlineStr">
        <is>
          <t>ANY degree, or a prior career in any field</t>
        </is>
      </c>
    </row>
    <row r="75" ht="30" customHeight="1" s="63">
      <c r="A75" s="83" t="n">
        <v>72</v>
      </c>
      <c r="B75" s="84" t="inlineStr">
        <is>
          <t>Graphic Designer</t>
        </is>
      </c>
      <c r="C75" s="85" t="inlineStr">
        <is>
          <t>Creative</t>
        </is>
      </c>
      <c r="D75" s="83" t="n">
        <v>60</v>
      </c>
      <c r="E75" s="83" t="n">
        <v>55</v>
      </c>
      <c r="F75" s="83" t="n">
        <v>80</v>
      </c>
      <c r="G75" s="83" t="n">
        <v>95</v>
      </c>
      <c r="H75" s="83" t="n">
        <v>65</v>
      </c>
      <c r="I75" s="83">
        <f>ABS('Student Calculator'!C30-D75)</f>
        <v/>
      </c>
      <c r="J75" s="83">
        <f>ABS('Student Calculator'!D30-E75)</f>
        <v/>
      </c>
      <c r="K75" s="83">
        <f>ABS('Student Calculator'!E30-F75)</f>
        <v/>
      </c>
      <c r="L75" s="83">
        <f>ABS('Student Calculator'!F30-G75)</f>
        <v/>
      </c>
      <c r="M75" s="86">
        <f>ROUND(MAX(0, 100 - (I75*0.25 + J75*0.2 + K75*0.25 + L75*0.2)), 1)</f>
        <v/>
      </c>
      <c r="N75" s="87">
        <f>IF(M75&gt;=72,"🟢 BEST FIT",IF(M75&gt;=52,"🟡 CONSIDER","🔴 MISMATCH"))</f>
        <v/>
      </c>
      <c r="O75" s="88" t="inlineStr">
        <is>
          <t>B.Des / BFA Applied Art</t>
        </is>
      </c>
      <c r="P75" s="93" t="inlineStr">
        <is>
          <t>Yes</t>
        </is>
      </c>
      <c r="Q75" s="88" t="inlineStr">
        <is>
          <t>Portfolio-first hiring; NID/NIFT PG Diploma open to any graduate; self-taught is common</t>
        </is>
      </c>
      <c r="R75" s="88" t="inlineStr">
        <is>
          <t>ANY degree with a portfolio</t>
        </is>
      </c>
    </row>
    <row r="76" ht="30" customHeight="1" s="63">
      <c r="A76" s="76" t="n">
        <v>73</v>
      </c>
      <c r="B76" s="77" t="inlineStr">
        <is>
          <t>Animator</t>
        </is>
      </c>
      <c r="C76" s="78" t="inlineStr">
        <is>
          <t>Creative</t>
        </is>
      </c>
      <c r="D76" s="76" t="n">
        <v>65</v>
      </c>
      <c r="E76" s="76" t="n">
        <v>60</v>
      </c>
      <c r="F76" s="76" t="n">
        <v>75</v>
      </c>
      <c r="G76" s="76" t="n">
        <v>95</v>
      </c>
      <c r="H76" s="76" t="n">
        <v>65</v>
      </c>
      <c r="I76" s="76">
        <f>ABS('Student Calculator'!C30-D76)</f>
        <v/>
      </c>
      <c r="J76" s="76">
        <f>ABS('Student Calculator'!D30-E76)</f>
        <v/>
      </c>
      <c r="K76" s="76">
        <f>ABS('Student Calculator'!E30-F76)</f>
        <v/>
      </c>
      <c r="L76" s="76">
        <f>ABS('Student Calculator'!F30-G76)</f>
        <v/>
      </c>
      <c r="M76" s="79">
        <f>ROUND(MAX(0, 100 - (I76*0.25 + J76*0.2 + K76*0.25 + L76*0.2)), 1)</f>
        <v/>
      </c>
      <c r="N76" s="80">
        <f>IF(M76&gt;=72,"🟢 BEST FIT",IF(M76&gt;=52,"🟡 CONSIDER","🔴 MISMATCH"))</f>
        <v/>
      </c>
      <c r="O76" s="81" t="inlineStr">
        <is>
          <t>B.Des Animation / BFA</t>
        </is>
      </c>
      <c r="P76" s="92" t="inlineStr">
        <is>
          <t>Yes</t>
        </is>
      </c>
      <c r="Q76" s="81" t="inlineStr">
        <is>
          <t>Studio diploma (MAAC, Arena, Whistling Woods) — the showreel matters more than the degree</t>
        </is>
      </c>
      <c r="R76" s="81" t="inlineStr">
        <is>
          <t>ANY degree with a showreel</t>
        </is>
      </c>
    </row>
    <row r="77" ht="30" customHeight="1" s="63">
      <c r="A77" s="83" t="n">
        <v>74</v>
      </c>
      <c r="B77" s="84" t="inlineStr">
        <is>
          <t>Filmmaker/Director</t>
        </is>
      </c>
      <c r="C77" s="85" t="inlineStr">
        <is>
          <t>Creative</t>
        </is>
      </c>
      <c r="D77" s="83" t="n">
        <v>65</v>
      </c>
      <c r="E77" s="83" t="n">
        <v>55</v>
      </c>
      <c r="F77" s="83" t="n">
        <v>85</v>
      </c>
      <c r="G77" s="83" t="n">
        <v>90</v>
      </c>
      <c r="H77" s="83" t="n">
        <v>70</v>
      </c>
      <c r="I77" s="83">
        <f>ABS('Student Calculator'!C30-D77)</f>
        <v/>
      </c>
      <c r="J77" s="83">
        <f>ABS('Student Calculator'!D30-E77)</f>
        <v/>
      </c>
      <c r="K77" s="83">
        <f>ABS('Student Calculator'!E30-F77)</f>
        <v/>
      </c>
      <c r="L77" s="83">
        <f>ABS('Student Calculator'!F30-G77)</f>
        <v/>
      </c>
      <c r="M77" s="86">
        <f>ROUND(MAX(0, 100 - (I77*0.25 + J77*0.2 + K77*0.25 + L77*0.2)), 1)</f>
        <v/>
      </c>
      <c r="N77" s="87">
        <f>IF(M77&gt;=72,"🟢 BEST FIT",IF(M77&gt;=52,"🟡 CONSIDER","🔴 MISMATCH"))</f>
        <v/>
      </c>
      <c r="O77" s="88" t="inlineStr">
        <is>
          <t>BA Film / Mass Communication</t>
        </is>
      </c>
      <c r="P77" s="93" t="inlineStr">
        <is>
          <t>Yes</t>
        </is>
      </c>
      <c r="Q77" s="88" t="inlineStr">
        <is>
          <t>FTII/SRFTI PG programmes are open to ANY graduate; assistant-director apprenticeship route</t>
        </is>
      </c>
      <c r="R77" s="88" t="inlineStr">
        <is>
          <t>ANY degree</t>
        </is>
      </c>
    </row>
    <row r="78" ht="30" customHeight="1" s="63">
      <c r="A78" s="76" t="n">
        <v>75</v>
      </c>
      <c r="B78" s="77" t="inlineStr">
        <is>
          <t>Screenwriter</t>
        </is>
      </c>
      <c r="C78" s="78" t="inlineStr">
        <is>
          <t>Creative</t>
        </is>
      </c>
      <c r="D78" s="76" t="n">
        <v>35</v>
      </c>
      <c r="E78" s="76" t="n">
        <v>55</v>
      </c>
      <c r="F78" s="76" t="n">
        <v>85</v>
      </c>
      <c r="G78" s="76" t="n">
        <v>90</v>
      </c>
      <c r="H78" s="76" t="n">
        <v>65</v>
      </c>
      <c r="I78" s="76">
        <f>ABS('Student Calculator'!C30-D78)</f>
        <v/>
      </c>
      <c r="J78" s="76">
        <f>ABS('Student Calculator'!D30-E78)</f>
        <v/>
      </c>
      <c r="K78" s="76">
        <f>ABS('Student Calculator'!E30-F78)</f>
        <v/>
      </c>
      <c r="L78" s="76">
        <f>ABS('Student Calculator'!F30-G78)</f>
        <v/>
      </c>
      <c r="M78" s="79">
        <f>ROUND(MAX(0, 100 - (I78*0.25 + J78*0.2 + K78*0.25 + L78*0.2)), 1)</f>
        <v/>
      </c>
      <c r="N78" s="80">
        <f>IF(M78&gt;=72,"🟢 BEST FIT",IF(M78&gt;=52,"🟡 CONSIDER","🔴 MISMATCH"))</f>
        <v/>
      </c>
      <c r="O78" s="81" t="inlineStr">
        <is>
          <t>Any bachelor's degree</t>
        </is>
      </c>
      <c r="P78" s="92" t="inlineStr">
        <is>
          <t>Yes</t>
        </is>
      </c>
      <c r="Q78" s="81" t="inlineStr">
        <is>
          <t>FTII screenwriting course, writers' rooms, spec scripts — there is no degree gate</t>
        </is>
      </c>
      <c r="R78" s="81" t="inlineStr">
        <is>
          <t>ANY degree, especially Literature and Journalism</t>
        </is>
      </c>
    </row>
    <row r="79" ht="30" customHeight="1" s="63">
      <c r="A79" s="83" t="n">
        <v>76</v>
      </c>
      <c r="B79" s="84" t="inlineStr">
        <is>
          <t>Journalist</t>
        </is>
      </c>
      <c r="C79" s="85" t="inlineStr">
        <is>
          <t>Media</t>
        </is>
      </c>
      <c r="D79" s="83" t="n">
        <v>50</v>
      </c>
      <c r="E79" s="83" t="n">
        <v>65</v>
      </c>
      <c r="F79" s="83" t="n">
        <v>80</v>
      </c>
      <c r="G79" s="83" t="n">
        <v>85</v>
      </c>
      <c r="H79" s="83" t="n">
        <v>75</v>
      </c>
      <c r="I79" s="83">
        <f>ABS('Student Calculator'!C30-D79)</f>
        <v/>
      </c>
      <c r="J79" s="83">
        <f>ABS('Student Calculator'!D30-E79)</f>
        <v/>
      </c>
      <c r="K79" s="83">
        <f>ABS('Student Calculator'!E30-F79)</f>
        <v/>
      </c>
      <c r="L79" s="83">
        <f>ABS('Student Calculator'!F30-G79)</f>
        <v/>
      </c>
      <c r="M79" s="86">
        <f>ROUND(MAX(0, 100 - (I79*0.25 + J79*0.2 + K79*0.25 + L79*0.2)), 1)</f>
        <v/>
      </c>
      <c r="N79" s="87">
        <f>IF(M79&gt;=72,"🟢 BEST FIT",IF(M79&gt;=52,"🟡 CONSIDER","🔴 MISMATCH"))</f>
        <v/>
      </c>
      <c r="O79" s="88" t="inlineStr">
        <is>
          <t>BA Journalism / Mass Communication</t>
        </is>
      </c>
      <c r="P79" s="93" t="inlineStr">
        <is>
          <t>Yes</t>
        </is>
      </c>
      <c r="Q79" s="88" t="inlineStr">
        <is>
          <t>PG Diploma (IIMC, ACJ, Xavier's) open to ANY graduate; published clips matter most</t>
        </is>
      </c>
      <c r="R79" s="88" t="inlineStr">
        <is>
          <t>ANY degree — science and economics grads are valued for specialist beats</t>
        </is>
      </c>
    </row>
    <row r="80" ht="30" customHeight="1" s="63">
      <c r="A80" s="76" t="n">
        <v>77</v>
      </c>
      <c r="B80" s="77" t="inlineStr">
        <is>
          <t>Content Creator/Influencer</t>
        </is>
      </c>
      <c r="C80" s="78" t="inlineStr">
        <is>
          <t>Media</t>
        </is>
      </c>
      <c r="D80" s="76" t="n">
        <v>65</v>
      </c>
      <c r="E80" s="76" t="n">
        <v>45</v>
      </c>
      <c r="F80" s="76" t="n">
        <v>80</v>
      </c>
      <c r="G80" s="76" t="n">
        <v>85</v>
      </c>
      <c r="H80" s="76" t="n">
        <v>60</v>
      </c>
      <c r="I80" s="76">
        <f>ABS('Student Calculator'!C30-D80)</f>
        <v/>
      </c>
      <c r="J80" s="76">
        <f>ABS('Student Calculator'!D30-E80)</f>
        <v/>
      </c>
      <c r="K80" s="76">
        <f>ABS('Student Calculator'!E30-F80)</f>
        <v/>
      </c>
      <c r="L80" s="76">
        <f>ABS('Student Calculator'!F30-G80)</f>
        <v/>
      </c>
      <c r="M80" s="79">
        <f>ROUND(MAX(0, 100 - (I80*0.25 + J80*0.2 + K80*0.25 + L80*0.2)), 1)</f>
        <v/>
      </c>
      <c r="N80" s="80">
        <f>IF(M80&gt;=72,"🟢 BEST FIT",IF(M80&gt;=52,"🟡 CONSIDER","🔴 MISMATCH"))</f>
        <v/>
      </c>
      <c r="O80" s="81" t="inlineStr">
        <is>
          <t>No degree requirement</t>
        </is>
      </c>
      <c r="P80" s="92" t="inlineStr">
        <is>
          <t>Yes</t>
        </is>
      </c>
      <c r="Q80" s="81" t="inlineStr">
        <is>
          <t>Build an audience directly; there is no gate at all</t>
        </is>
      </c>
      <c r="R80" s="81" t="inlineStr">
        <is>
          <t>ANY degree, or none</t>
        </is>
      </c>
    </row>
    <row r="81" ht="30" customHeight="1" s="63">
      <c r="A81" s="83" t="n">
        <v>78</v>
      </c>
      <c r="B81" s="84" t="inlineStr">
        <is>
          <t>Photographer</t>
        </is>
      </c>
      <c r="C81" s="85" t="inlineStr">
        <is>
          <t>Creative</t>
        </is>
      </c>
      <c r="D81" s="83" t="n">
        <v>70</v>
      </c>
      <c r="E81" s="83" t="n">
        <v>55</v>
      </c>
      <c r="F81" s="83" t="n">
        <v>80</v>
      </c>
      <c r="G81" s="83" t="n">
        <v>90</v>
      </c>
      <c r="H81" s="83" t="n">
        <v>60</v>
      </c>
      <c r="I81" s="83">
        <f>ABS('Student Calculator'!C30-D81)</f>
        <v/>
      </c>
      <c r="J81" s="83">
        <f>ABS('Student Calculator'!D30-E81)</f>
        <v/>
      </c>
      <c r="K81" s="83">
        <f>ABS('Student Calculator'!E30-F81)</f>
        <v/>
      </c>
      <c r="L81" s="83">
        <f>ABS('Student Calculator'!F30-G81)</f>
        <v/>
      </c>
      <c r="M81" s="86">
        <f>ROUND(MAX(0, 100 - (I81*0.25 + J81*0.2 + K81*0.25 + L81*0.2)), 1)</f>
        <v/>
      </c>
      <c r="N81" s="87">
        <f>IF(M81&gt;=72,"🟢 BEST FIT",IF(M81&gt;=52,"🟡 CONSIDER","🔴 MISMATCH"))</f>
        <v/>
      </c>
      <c r="O81" s="88" t="inlineStr">
        <is>
          <t>BFA / B.Des Photography</t>
        </is>
      </c>
      <c r="P81" s="93" t="inlineStr">
        <is>
          <t>Yes</t>
        </is>
      </c>
      <c r="Q81" s="88" t="inlineStr">
        <is>
          <t>Assist a working photographer; portfolio-led with no degree gate</t>
        </is>
      </c>
      <c r="R81" s="88" t="inlineStr">
        <is>
          <t>ANY degree</t>
        </is>
      </c>
    </row>
    <row r="82" ht="30" customHeight="1" s="63">
      <c r="A82" s="76" t="n">
        <v>79</v>
      </c>
      <c r="B82" s="77" t="inlineStr">
        <is>
          <t>Fashion Designer</t>
        </is>
      </c>
      <c r="C82" s="78" t="inlineStr">
        <is>
          <t>Creative</t>
        </is>
      </c>
      <c r="D82" s="76" t="n">
        <v>65</v>
      </c>
      <c r="E82" s="76" t="n">
        <v>55</v>
      </c>
      <c r="F82" s="76" t="n">
        <v>80</v>
      </c>
      <c r="G82" s="76" t="n">
        <v>95</v>
      </c>
      <c r="H82" s="76" t="n">
        <v>65</v>
      </c>
      <c r="I82" s="76">
        <f>ABS('Student Calculator'!C30-D82)</f>
        <v/>
      </c>
      <c r="J82" s="76">
        <f>ABS('Student Calculator'!D30-E82)</f>
        <v/>
      </c>
      <c r="K82" s="76">
        <f>ABS('Student Calculator'!E30-F82)</f>
        <v/>
      </c>
      <c r="L82" s="76">
        <f>ABS('Student Calculator'!F30-G82)</f>
        <v/>
      </c>
      <c r="M82" s="79">
        <f>ROUND(MAX(0, 100 - (I82*0.25 + J82*0.2 + K82*0.25 + L82*0.2)), 1)</f>
        <v/>
      </c>
      <c r="N82" s="80">
        <f>IF(M82&gt;=72,"🟢 BEST FIT",IF(M82&gt;=52,"🟡 CONSIDER","🔴 MISMATCH"))</f>
        <v/>
      </c>
      <c r="O82" s="81" t="inlineStr">
        <is>
          <t>B.Des at NIFT / NID / Pearl</t>
        </is>
      </c>
      <c r="P82" s="90" t="inlineStr">
        <is>
          <t>Partly</t>
        </is>
      </c>
      <c r="Q82" s="81" t="inlineStr">
        <is>
          <t>NIFT/NID PG (M.Des, M.F.Tech) is open to ANY graduate; boutique apprenticeship also works</t>
        </is>
      </c>
      <c r="R82" s="81" t="inlineStr">
        <is>
          <t>ANY degree → NIFT PG; Textile and Fine Arts backgrounds</t>
        </is>
      </c>
    </row>
    <row r="83" ht="30" customHeight="1" s="63">
      <c r="A83" s="83" t="n">
        <v>80</v>
      </c>
      <c r="B83" s="84" t="inlineStr">
        <is>
          <t>Architect</t>
        </is>
      </c>
      <c r="C83" s="85" t="inlineStr">
        <is>
          <t>Design</t>
        </is>
      </c>
      <c r="D83" s="83" t="n">
        <v>75</v>
      </c>
      <c r="E83" s="83" t="n">
        <v>75</v>
      </c>
      <c r="F83" s="83" t="n">
        <v>80</v>
      </c>
      <c r="G83" s="83" t="n">
        <v>90</v>
      </c>
      <c r="H83" s="83" t="n">
        <v>80</v>
      </c>
      <c r="I83" s="83">
        <f>ABS('Student Calculator'!C30-D83)</f>
        <v/>
      </c>
      <c r="J83" s="83">
        <f>ABS('Student Calculator'!D30-E83)</f>
        <v/>
      </c>
      <c r="K83" s="83">
        <f>ABS('Student Calculator'!E30-F83)</f>
        <v/>
      </c>
      <c r="L83" s="83">
        <f>ABS('Student Calculator'!F30-G83)</f>
        <v/>
      </c>
      <c r="M83" s="86">
        <f>ROUND(MAX(0, 100 - (I83*0.25 + J83*0.2 + K83*0.25 + L83*0.2)), 1)</f>
        <v/>
      </c>
      <c r="N83" s="87">
        <f>IF(M83&gt;=72,"🟢 BEST FIT",IF(M83&gt;=52,"🟡 CONSIDER","🔴 MISMATCH"))</f>
        <v/>
      </c>
      <c r="O83" s="88" t="inlineStr">
        <is>
          <t>B.Arch (via NATA/JEE Paper 2) + CoA registration</t>
        </is>
      </c>
      <c r="P83" s="89" t="inlineStr">
        <is>
          <t>No</t>
        </is>
      </c>
      <c r="Q83" s="88" t="inlineStr">
        <is>
          <t>None — B.Arch is statutorily required to practise and register with the Council of Architecture</t>
        </is>
      </c>
      <c r="R83" s="88" t="inlineStr">
        <is>
          <t>Class 12 PCM + NATA only</t>
        </is>
      </c>
    </row>
    <row r="84" ht="30" customHeight="1" s="63">
      <c r="A84" s="76" t="n">
        <v>81</v>
      </c>
      <c r="B84" s="77" t="inlineStr">
        <is>
          <t>Interior Designer</t>
        </is>
      </c>
      <c r="C84" s="78" t="inlineStr">
        <is>
          <t>Design</t>
        </is>
      </c>
      <c r="D84" s="76" t="n">
        <v>70</v>
      </c>
      <c r="E84" s="76" t="n">
        <v>60</v>
      </c>
      <c r="F84" s="76" t="n">
        <v>75</v>
      </c>
      <c r="G84" s="76" t="n">
        <v>90</v>
      </c>
      <c r="H84" s="76" t="n">
        <v>70</v>
      </c>
      <c r="I84" s="76">
        <f>ABS('Student Calculator'!C30-D84)</f>
        <v/>
      </c>
      <c r="J84" s="76">
        <f>ABS('Student Calculator'!D30-E84)</f>
        <v/>
      </c>
      <c r="K84" s="76">
        <f>ABS('Student Calculator'!E30-F84)</f>
        <v/>
      </c>
      <c r="L84" s="76">
        <f>ABS('Student Calculator'!F30-G84)</f>
        <v/>
      </c>
      <c r="M84" s="79">
        <f>ROUND(MAX(0, 100 - (I84*0.25 + J84*0.2 + K84*0.25 + L84*0.2)), 1)</f>
        <v/>
      </c>
      <c r="N84" s="80">
        <f>IF(M84&gt;=72,"🟢 BEST FIT",IF(M84&gt;=52,"🟡 CONSIDER","🔴 MISMATCH"))</f>
        <v/>
      </c>
      <c r="O84" s="81" t="inlineStr">
        <is>
          <t>B.Des / B.Sc Interior Design</t>
        </is>
      </c>
      <c r="P84" s="92" t="inlineStr">
        <is>
          <t>Yes</t>
        </is>
      </c>
      <c r="Q84" s="81" t="inlineStr">
        <is>
          <t>Diploma plus portfolio; no statutory licence is required in India</t>
        </is>
      </c>
      <c r="R84" s="81" t="inlineStr">
        <is>
          <t>ANY degree, B.Arch, Fine Arts</t>
        </is>
      </c>
    </row>
    <row r="85" ht="30" customHeight="1" s="63">
      <c r="A85" s="83" t="n">
        <v>82</v>
      </c>
      <c r="B85" s="84" t="inlineStr">
        <is>
          <t>Industrial Designer</t>
        </is>
      </c>
      <c r="C85" s="85" t="inlineStr">
        <is>
          <t>Design</t>
        </is>
      </c>
      <c r="D85" s="83" t="n">
        <v>75</v>
      </c>
      <c r="E85" s="83" t="n">
        <v>70</v>
      </c>
      <c r="F85" s="83" t="n">
        <v>75</v>
      </c>
      <c r="G85" s="83" t="n">
        <v>85</v>
      </c>
      <c r="H85" s="83" t="n">
        <v>75</v>
      </c>
      <c r="I85" s="83">
        <f>ABS('Student Calculator'!C30-D85)</f>
        <v/>
      </c>
      <c r="J85" s="83">
        <f>ABS('Student Calculator'!D30-E85)</f>
        <v/>
      </c>
      <c r="K85" s="83">
        <f>ABS('Student Calculator'!E30-F85)</f>
        <v/>
      </c>
      <c r="L85" s="83">
        <f>ABS('Student Calculator'!F30-G85)</f>
        <v/>
      </c>
      <c r="M85" s="86">
        <f>ROUND(MAX(0, 100 - (I85*0.25 + J85*0.2 + K85*0.25 + L85*0.2)), 1)</f>
        <v/>
      </c>
      <c r="N85" s="87">
        <f>IF(M85&gt;=72,"🟢 BEST FIT",IF(M85&gt;=52,"🟡 CONSIDER","🔴 MISMATCH"))</f>
        <v/>
      </c>
      <c r="O85" s="88" t="inlineStr">
        <is>
          <t>B.Des Product Design</t>
        </is>
      </c>
      <c r="P85" s="91" t="inlineStr">
        <is>
          <t>Partly</t>
        </is>
      </c>
      <c r="Q85" s="88" t="inlineStr">
        <is>
          <t>M.Des at NID or IIT IDC via CEED — open to BE, B.Arch, B.Des and other graduates</t>
        </is>
      </c>
      <c r="R85" s="88" t="inlineStr">
        <is>
          <t>BE Mechanical, B.Arch, B.Des, Fine Arts</t>
        </is>
      </c>
    </row>
    <row r="86" ht="30" customHeight="1" s="63">
      <c r="A86" s="76" t="n">
        <v>83</v>
      </c>
      <c r="B86" s="77" t="inlineStr">
        <is>
          <t>Music Producer</t>
        </is>
      </c>
      <c r="C86" s="78" t="inlineStr">
        <is>
          <t>Creative</t>
        </is>
      </c>
      <c r="D86" s="76" t="n">
        <v>55</v>
      </c>
      <c r="E86" s="76" t="n">
        <v>55</v>
      </c>
      <c r="F86" s="76" t="n">
        <v>85</v>
      </c>
      <c r="G86" s="76" t="n">
        <v>95</v>
      </c>
      <c r="H86" s="76" t="n">
        <v>65</v>
      </c>
      <c r="I86" s="76">
        <f>ABS('Student Calculator'!C30-D86)</f>
        <v/>
      </c>
      <c r="J86" s="76">
        <f>ABS('Student Calculator'!D30-E86)</f>
        <v/>
      </c>
      <c r="K86" s="76">
        <f>ABS('Student Calculator'!E30-F86)</f>
        <v/>
      </c>
      <c r="L86" s="76">
        <f>ABS('Student Calculator'!F30-G86)</f>
        <v/>
      </c>
      <c r="M86" s="79">
        <f>ROUND(MAX(0, 100 - (I86*0.25 + J86*0.2 + K86*0.25 + L86*0.2)), 1)</f>
        <v/>
      </c>
      <c r="N86" s="80">
        <f>IF(M86&gt;=72,"🟢 BEST FIT",IF(M86&gt;=52,"🟡 CONSIDER","🔴 MISMATCH"))</f>
        <v/>
      </c>
      <c r="O86" s="81" t="inlineStr">
        <is>
          <t>No degree requirement</t>
        </is>
      </c>
      <c r="P86" s="92" t="inlineStr">
        <is>
          <t>Yes</t>
        </is>
      </c>
      <c r="Q86" s="81" t="inlineStr">
        <is>
          <t>DAW self-training, Berklee Online, or a studio-assistant route</t>
        </is>
      </c>
      <c r="R86" s="81" t="inlineStr">
        <is>
          <t>ANY degree, or none</t>
        </is>
      </c>
    </row>
    <row r="87" ht="30" customHeight="1" s="63">
      <c r="A87" s="83" t="n">
        <v>84</v>
      </c>
      <c r="B87" s="84" t="inlineStr">
        <is>
          <t>Musician/Performer</t>
        </is>
      </c>
      <c r="C87" s="85" t="inlineStr">
        <is>
          <t>Creative</t>
        </is>
      </c>
      <c r="D87" s="83" t="n">
        <v>55</v>
      </c>
      <c r="E87" s="83" t="n">
        <v>45</v>
      </c>
      <c r="F87" s="83" t="n">
        <v>85</v>
      </c>
      <c r="G87" s="83" t="n">
        <v>95</v>
      </c>
      <c r="H87" s="83" t="n">
        <v>55</v>
      </c>
      <c r="I87" s="83">
        <f>ABS('Student Calculator'!C30-D87)</f>
        <v/>
      </c>
      <c r="J87" s="83">
        <f>ABS('Student Calculator'!D30-E87)</f>
        <v/>
      </c>
      <c r="K87" s="83">
        <f>ABS('Student Calculator'!E30-F87)</f>
        <v/>
      </c>
      <c r="L87" s="83">
        <f>ABS('Student Calculator'!F30-G87)</f>
        <v/>
      </c>
      <c r="M87" s="86">
        <f>ROUND(MAX(0, 100 - (I87*0.25 + J87*0.2 + K87*0.25 + L87*0.2)), 1)</f>
        <v/>
      </c>
      <c r="N87" s="87">
        <f>IF(M87&gt;=72,"🟢 BEST FIT",IF(M87&gt;=52,"🟡 CONSIDER","🔴 MISMATCH"))</f>
        <v/>
      </c>
      <c r="O87" s="88" t="inlineStr">
        <is>
          <t>No degree requirement</t>
        </is>
      </c>
      <c r="P87" s="93" t="inlineStr">
        <is>
          <t>Yes</t>
        </is>
      </c>
      <c r="Q87" s="88" t="inlineStr">
        <is>
          <t>Guru-shishya training, conservatory diploma, or self-taught plus gigging</t>
        </is>
      </c>
      <c r="R87" s="88" t="inlineStr">
        <is>
          <t>ANY degree, or none</t>
        </is>
      </c>
    </row>
    <row r="88" ht="30" customHeight="1" s="63">
      <c r="A88" s="76" t="n">
        <v>85</v>
      </c>
      <c r="B88" s="77" t="inlineStr">
        <is>
          <t>Actor</t>
        </is>
      </c>
      <c r="C88" s="78" t="inlineStr">
        <is>
          <t>Creative</t>
        </is>
      </c>
      <c r="D88" s="76" t="n">
        <v>60</v>
      </c>
      <c r="E88" s="76" t="n">
        <v>40</v>
      </c>
      <c r="F88" s="76" t="n">
        <v>85</v>
      </c>
      <c r="G88" s="76" t="n">
        <v>85</v>
      </c>
      <c r="H88" s="76" t="n">
        <v>55</v>
      </c>
      <c r="I88" s="76">
        <f>ABS('Student Calculator'!C30-D88)</f>
        <v/>
      </c>
      <c r="J88" s="76">
        <f>ABS('Student Calculator'!D30-E88)</f>
        <v/>
      </c>
      <c r="K88" s="76">
        <f>ABS('Student Calculator'!E30-F88)</f>
        <v/>
      </c>
      <c r="L88" s="76">
        <f>ABS('Student Calculator'!F30-G88)</f>
        <v/>
      </c>
      <c r="M88" s="79">
        <f>ROUND(MAX(0, 100 - (I88*0.25 + J88*0.2 + K88*0.25 + L88*0.2)), 1)</f>
        <v/>
      </c>
      <c r="N88" s="80">
        <f>IF(M88&gt;=72,"🟢 BEST FIT",IF(M88&gt;=52,"🟡 CONSIDER","🔴 MISMATCH"))</f>
        <v/>
      </c>
      <c r="O88" s="81" t="inlineStr">
        <is>
          <t>No degree requirement</t>
        </is>
      </c>
      <c r="P88" s="92" t="inlineStr">
        <is>
          <t>Yes</t>
        </is>
      </c>
      <c r="Q88" s="81" t="inlineStr">
        <is>
          <t>NSD/FTII acting programmes (open to any graduate), theatre groups, auditions</t>
        </is>
      </c>
      <c r="R88" s="81" t="inlineStr">
        <is>
          <t>ANY degree, or none</t>
        </is>
      </c>
    </row>
    <row r="89" ht="30" customHeight="1" s="63">
      <c r="A89" s="83" t="n">
        <v>86</v>
      </c>
      <c r="B89" s="84" t="inlineStr">
        <is>
          <t>Dancer/Choreographer</t>
        </is>
      </c>
      <c r="C89" s="85" t="inlineStr">
        <is>
          <t>Creative</t>
        </is>
      </c>
      <c r="D89" s="83" t="n">
        <v>80</v>
      </c>
      <c r="E89" s="83" t="n">
        <v>45</v>
      </c>
      <c r="F89" s="83" t="n">
        <v>85</v>
      </c>
      <c r="G89" s="83" t="n">
        <v>90</v>
      </c>
      <c r="H89" s="83" t="n">
        <v>55</v>
      </c>
      <c r="I89" s="83">
        <f>ABS('Student Calculator'!C30-D89)</f>
        <v/>
      </c>
      <c r="J89" s="83">
        <f>ABS('Student Calculator'!D30-E89)</f>
        <v/>
      </c>
      <c r="K89" s="83">
        <f>ABS('Student Calculator'!E30-F89)</f>
        <v/>
      </c>
      <c r="L89" s="83">
        <f>ABS('Student Calculator'!F30-G89)</f>
        <v/>
      </c>
      <c r="M89" s="86">
        <f>ROUND(MAX(0, 100 - (I89*0.25 + J89*0.2 + K89*0.25 + L89*0.2)), 1)</f>
        <v/>
      </c>
      <c r="N89" s="87">
        <f>IF(M89&gt;=72,"🟢 BEST FIT",IF(M89&gt;=52,"🟡 CONSIDER","🔴 MISMATCH"))</f>
        <v/>
      </c>
      <c r="O89" s="88" t="inlineStr">
        <is>
          <t>No degree requirement</t>
        </is>
      </c>
      <c r="P89" s="93" t="inlineStr">
        <is>
          <t>Yes</t>
        </is>
      </c>
      <c r="Q89" s="88" t="inlineStr">
        <is>
          <t>Guru-shishya training or BPA Dance; performance credits are the real currency</t>
        </is>
      </c>
      <c r="R89" s="88" t="inlineStr">
        <is>
          <t>ANY degree, or none</t>
        </is>
      </c>
    </row>
    <row r="90" ht="30" customHeight="1" s="63">
      <c r="A90" s="76" t="n">
        <v>87</v>
      </c>
      <c r="B90" s="77" t="inlineStr">
        <is>
          <t>Author/Writer</t>
        </is>
      </c>
      <c r="C90" s="78" t="inlineStr">
        <is>
          <t>Creative</t>
        </is>
      </c>
      <c r="D90" s="76" t="n">
        <v>25</v>
      </c>
      <c r="E90" s="76" t="n">
        <v>65</v>
      </c>
      <c r="F90" s="76" t="n">
        <v>90</v>
      </c>
      <c r="G90" s="76" t="n">
        <v>90</v>
      </c>
      <c r="H90" s="76" t="n">
        <v>70</v>
      </c>
      <c r="I90" s="76">
        <f>ABS('Student Calculator'!C30-D90)</f>
        <v/>
      </c>
      <c r="J90" s="76">
        <f>ABS('Student Calculator'!D30-E90)</f>
        <v/>
      </c>
      <c r="K90" s="76">
        <f>ABS('Student Calculator'!E30-F90)</f>
        <v/>
      </c>
      <c r="L90" s="76">
        <f>ABS('Student Calculator'!F30-G90)</f>
        <v/>
      </c>
      <c r="M90" s="79">
        <f>ROUND(MAX(0, 100 - (I90*0.25 + J90*0.2 + K90*0.25 + L90*0.2)), 1)</f>
        <v/>
      </c>
      <c r="N90" s="80">
        <f>IF(M90&gt;=72,"🟢 BEST FIT",IF(M90&gt;=52,"🟡 CONSIDER","🔴 MISMATCH"))</f>
        <v/>
      </c>
      <c r="O90" s="81" t="inlineStr">
        <is>
          <t>No degree requirement</t>
        </is>
      </c>
      <c r="P90" s="92" t="inlineStr">
        <is>
          <t>Yes</t>
        </is>
      </c>
      <c r="Q90" s="81" t="inlineStr">
        <is>
          <t>Publish, pitch and build a body of work — there is no formal gate</t>
        </is>
      </c>
      <c r="R90" s="81" t="inlineStr">
        <is>
          <t>ANY degree</t>
        </is>
      </c>
    </row>
    <row r="91" ht="30" customHeight="1" s="63">
      <c r="A91" s="83" t="n">
        <v>88</v>
      </c>
      <c r="B91" s="84" t="inlineStr">
        <is>
          <t>Poet</t>
        </is>
      </c>
      <c r="C91" s="85" t="inlineStr">
        <is>
          <t>Creative</t>
        </is>
      </c>
      <c r="D91" s="83" t="n">
        <v>25</v>
      </c>
      <c r="E91" s="83" t="n">
        <v>55</v>
      </c>
      <c r="F91" s="83" t="n">
        <v>85</v>
      </c>
      <c r="G91" s="83" t="n">
        <v>90</v>
      </c>
      <c r="H91" s="83" t="n">
        <v>55</v>
      </c>
      <c r="I91" s="83">
        <f>ABS('Student Calculator'!C30-D91)</f>
        <v/>
      </c>
      <c r="J91" s="83">
        <f>ABS('Student Calculator'!D30-E91)</f>
        <v/>
      </c>
      <c r="K91" s="83">
        <f>ABS('Student Calculator'!E30-F91)</f>
        <v/>
      </c>
      <c r="L91" s="83">
        <f>ABS('Student Calculator'!F30-G91)</f>
        <v/>
      </c>
      <c r="M91" s="86">
        <f>ROUND(MAX(0, 100 - (I91*0.25 + J91*0.2 + K91*0.25 + L91*0.2)), 1)</f>
        <v/>
      </c>
      <c r="N91" s="87">
        <f>IF(M91&gt;=72,"🟢 BEST FIT",IF(M91&gt;=52,"🟡 CONSIDER","🔴 MISMATCH"))</f>
        <v/>
      </c>
      <c r="O91" s="88" t="inlineStr">
        <is>
          <t>No degree requirement</t>
        </is>
      </c>
      <c r="P91" s="93" t="inlineStr">
        <is>
          <t>Yes</t>
        </is>
      </c>
      <c r="Q91" s="88" t="inlineStr">
        <is>
          <t>Literary magazines, readings and residencies; an MFA is optional</t>
        </is>
      </c>
      <c r="R91" s="88" t="inlineStr">
        <is>
          <t>ANY degree</t>
        </is>
      </c>
    </row>
    <row r="92" ht="30" customHeight="1" s="63">
      <c r="A92" s="76" t="n">
        <v>89</v>
      </c>
      <c r="B92" s="77" t="inlineStr">
        <is>
          <t>Game Designer</t>
        </is>
      </c>
      <c r="C92" s="78" t="inlineStr">
        <is>
          <t>Technology</t>
        </is>
      </c>
      <c r="D92" s="76" t="n">
        <v>60</v>
      </c>
      <c r="E92" s="76" t="n">
        <v>70</v>
      </c>
      <c r="F92" s="76" t="n">
        <v>80</v>
      </c>
      <c r="G92" s="76" t="n">
        <v>90</v>
      </c>
      <c r="H92" s="76" t="n">
        <v>75</v>
      </c>
      <c r="I92" s="76">
        <f>ABS('Student Calculator'!C30-D92)</f>
        <v/>
      </c>
      <c r="J92" s="76">
        <f>ABS('Student Calculator'!D30-E92)</f>
        <v/>
      </c>
      <c r="K92" s="76">
        <f>ABS('Student Calculator'!E30-F92)</f>
        <v/>
      </c>
      <c r="L92" s="76">
        <f>ABS('Student Calculator'!F30-G92)</f>
        <v/>
      </c>
      <c r="M92" s="79">
        <f>ROUND(MAX(0, 100 - (I92*0.25 + J92*0.2 + K92*0.25 + L92*0.2)), 1)</f>
        <v/>
      </c>
      <c r="N92" s="80">
        <f>IF(M92&gt;=72,"🟢 BEST FIT",IF(M92&gt;=52,"🟡 CONSIDER","🔴 MISMATCH"))</f>
        <v/>
      </c>
      <c r="O92" s="81" t="inlineStr">
        <is>
          <t>B.Des / B.Tech + game development skills</t>
        </is>
      </c>
      <c r="P92" s="92" t="inlineStr">
        <is>
          <t>Yes</t>
        </is>
      </c>
      <c r="Q92" s="81" t="inlineStr">
        <is>
          <t>Unity/Unreal portfolio and game jams; DSK and Backstage Pass diplomas</t>
        </is>
      </c>
      <c r="R92" s="81" t="inlineStr">
        <is>
          <t>ANY degree with shipped game projects</t>
        </is>
      </c>
    </row>
    <row r="93" ht="30" customHeight="1" s="63">
      <c r="A93" s="83" t="n">
        <v>90</v>
      </c>
      <c r="B93" s="84" t="inlineStr">
        <is>
          <t>Professional Athlete</t>
        </is>
      </c>
      <c r="C93" s="85" t="inlineStr">
        <is>
          <t>Sports</t>
        </is>
      </c>
      <c r="D93" s="83" t="n">
        <v>95</v>
      </c>
      <c r="E93" s="83" t="n">
        <v>55</v>
      </c>
      <c r="F93" s="83" t="n">
        <v>80</v>
      </c>
      <c r="G93" s="83" t="n">
        <v>75</v>
      </c>
      <c r="H93" s="83" t="n">
        <v>70</v>
      </c>
      <c r="I93" s="83">
        <f>ABS('Student Calculator'!C30-D93)</f>
        <v/>
      </c>
      <c r="J93" s="83">
        <f>ABS('Student Calculator'!D30-E93)</f>
        <v/>
      </c>
      <c r="K93" s="83">
        <f>ABS('Student Calculator'!E30-F93)</f>
        <v/>
      </c>
      <c r="L93" s="83">
        <f>ABS('Student Calculator'!F30-G93)</f>
        <v/>
      </c>
      <c r="M93" s="86">
        <f>ROUND(MAX(0, 100 - (I93*0.25 + J93*0.2 + K93*0.25 + L93*0.2)), 1)</f>
        <v/>
      </c>
      <c r="N93" s="87">
        <f>IF(M93&gt;=72,"🟢 BEST FIT",IF(M93&gt;=52,"🟡 CONSIDER","🔴 MISMATCH"))</f>
        <v/>
      </c>
      <c r="O93" s="88" t="inlineStr">
        <is>
          <t>No degree requirement</t>
        </is>
      </c>
      <c r="P93" s="93" t="inlineStr">
        <is>
          <t>Yes</t>
        </is>
      </c>
      <c r="Q93" s="88" t="inlineStr">
        <is>
          <t>Academy → state → national selection; sports quota seats in colleges and PSUs</t>
        </is>
      </c>
      <c r="R93" s="88" t="inlineStr">
        <is>
          <t>ANY degree, or none</t>
        </is>
      </c>
    </row>
    <row r="94" ht="30" customHeight="1" s="63">
      <c r="A94" s="76" t="n">
        <v>91</v>
      </c>
      <c r="B94" s="77" t="inlineStr">
        <is>
          <t>Sports Coach</t>
        </is>
      </c>
      <c r="C94" s="78" t="inlineStr">
        <is>
          <t>Sports</t>
        </is>
      </c>
      <c r="D94" s="76" t="n">
        <v>85</v>
      </c>
      <c r="E94" s="76" t="n">
        <v>60</v>
      </c>
      <c r="F94" s="76" t="n">
        <v>80</v>
      </c>
      <c r="G94" s="76" t="n">
        <v>80</v>
      </c>
      <c r="H94" s="76" t="n">
        <v>75</v>
      </c>
      <c r="I94" s="76">
        <f>ABS('Student Calculator'!C30-D94)</f>
        <v/>
      </c>
      <c r="J94" s="76">
        <f>ABS('Student Calculator'!D30-E94)</f>
        <v/>
      </c>
      <c r="K94" s="76">
        <f>ABS('Student Calculator'!E30-F94)</f>
        <v/>
      </c>
      <c r="L94" s="76">
        <f>ABS('Student Calculator'!F30-G94)</f>
        <v/>
      </c>
      <c r="M94" s="79">
        <f>ROUND(MAX(0, 100 - (I94*0.25 + J94*0.2 + K94*0.25 + L94*0.2)), 1)</f>
        <v/>
      </c>
      <c r="N94" s="80">
        <f>IF(M94&gt;=72,"🟢 BEST FIT",IF(M94&gt;=52,"🟡 CONSIDER","🔴 MISMATCH"))</f>
        <v/>
      </c>
      <c r="O94" s="81" t="inlineStr">
        <is>
          <t>BPEd or any degree + NIS Patiala diploma</t>
        </is>
      </c>
      <c r="P94" s="92" t="inlineStr">
        <is>
          <t>Yes</t>
        </is>
      </c>
      <c r="Q94" s="81" t="inlineStr">
        <is>
          <t>NSNIS Patiala coaching diploma is open to any graduate with a playing background</t>
        </is>
      </c>
      <c r="R94" s="81" t="inlineStr">
        <is>
          <t>ANY degree, BPEd, former athletes</t>
        </is>
      </c>
    </row>
    <row r="95" ht="30" customHeight="1" s="63">
      <c r="A95" s="83" t="n">
        <v>92</v>
      </c>
      <c r="B95" s="84" t="inlineStr">
        <is>
          <t>Sports Physiotherapist</t>
        </is>
      </c>
      <c r="C95" s="85" t="inlineStr">
        <is>
          <t>Sports</t>
        </is>
      </c>
      <c r="D95" s="83" t="n">
        <v>85</v>
      </c>
      <c r="E95" s="83" t="n">
        <v>65</v>
      </c>
      <c r="F95" s="83" t="n">
        <v>75</v>
      </c>
      <c r="G95" s="83" t="n">
        <v>75</v>
      </c>
      <c r="H95" s="83" t="n">
        <v>70</v>
      </c>
      <c r="I95" s="83">
        <f>ABS('Student Calculator'!C30-D95)</f>
        <v/>
      </c>
      <c r="J95" s="83">
        <f>ABS('Student Calculator'!D30-E95)</f>
        <v/>
      </c>
      <c r="K95" s="83">
        <f>ABS('Student Calculator'!E30-F95)</f>
        <v/>
      </c>
      <c r="L95" s="83">
        <f>ABS('Student Calculator'!F30-G95)</f>
        <v/>
      </c>
      <c r="M95" s="86">
        <f>ROUND(MAX(0, 100 - (I95*0.25 + J95*0.2 + K95*0.25 + L95*0.2)), 1)</f>
        <v/>
      </c>
      <c r="N95" s="87">
        <f>IF(M95&gt;=72,"🟢 BEST FIT",IF(M95&gt;=52,"🟡 CONSIDER","🔴 MISMATCH"))</f>
        <v/>
      </c>
      <c r="O95" s="88" t="inlineStr">
        <is>
          <t>BPT → MPT (Sports)</t>
        </is>
      </c>
      <c r="P95" s="89" t="inlineStr">
        <is>
          <t>No</t>
        </is>
      </c>
      <c r="Q95" s="88" t="inlineStr">
        <is>
          <t>BPT is required for registration; then MPT Sports or a sports physiotherapy certification</t>
        </is>
      </c>
      <c r="R95" s="88" t="inlineStr">
        <is>
          <t>BPT only</t>
        </is>
      </c>
    </row>
    <row r="96" ht="30" customHeight="1" s="63">
      <c r="A96" s="76" t="n">
        <v>93</v>
      </c>
      <c r="B96" s="77" t="inlineStr">
        <is>
          <t>Sports Manager/Agent</t>
        </is>
      </c>
      <c r="C96" s="78" t="inlineStr">
        <is>
          <t>Sports</t>
        </is>
      </c>
      <c r="D96" s="76" t="n">
        <v>70</v>
      </c>
      <c r="E96" s="76" t="n">
        <v>60</v>
      </c>
      <c r="F96" s="76" t="n">
        <v>75</v>
      </c>
      <c r="G96" s="76" t="n">
        <v>70</v>
      </c>
      <c r="H96" s="76" t="n">
        <v>75</v>
      </c>
      <c r="I96" s="76">
        <f>ABS('Student Calculator'!C30-D96)</f>
        <v/>
      </c>
      <c r="J96" s="76">
        <f>ABS('Student Calculator'!D30-E96)</f>
        <v/>
      </c>
      <c r="K96" s="76">
        <f>ABS('Student Calculator'!E30-F96)</f>
        <v/>
      </c>
      <c r="L96" s="76">
        <f>ABS('Student Calculator'!F30-G96)</f>
        <v/>
      </c>
      <c r="M96" s="79">
        <f>ROUND(MAX(0, 100 - (I96*0.25 + J96*0.2 + K96*0.25 + L96*0.2)), 1)</f>
        <v/>
      </c>
      <c r="N96" s="80">
        <f>IF(M96&gt;=72,"🟢 BEST FIT",IF(M96&gt;=52,"🟡 CONSIDER","🔴 MISMATCH"))</f>
        <v/>
      </c>
      <c r="O96" s="81" t="inlineStr">
        <is>
          <t>Any degree + MBA Sports Management</t>
        </is>
      </c>
      <c r="P96" s="92" t="inlineStr">
        <is>
          <t>Yes</t>
        </is>
      </c>
      <c r="Q96" s="81" t="inlineStr">
        <is>
          <t>IISM/NASM sports management PG programmes and agency internships</t>
        </is>
      </c>
      <c r="R96" s="81" t="inlineStr">
        <is>
          <t>ANY degree</t>
        </is>
      </c>
    </row>
    <row r="97" ht="30" customHeight="1" s="63">
      <c r="A97" s="83" t="n">
        <v>94</v>
      </c>
      <c r="B97" s="84" t="inlineStr">
        <is>
          <t>Fitness Trainer/Nutritionist</t>
        </is>
      </c>
      <c r="C97" s="85" t="inlineStr">
        <is>
          <t>Sports</t>
        </is>
      </c>
      <c r="D97" s="83" t="n">
        <v>80</v>
      </c>
      <c r="E97" s="83" t="n">
        <v>60</v>
      </c>
      <c r="F97" s="83" t="n">
        <v>75</v>
      </c>
      <c r="G97" s="83" t="n">
        <v>70</v>
      </c>
      <c r="H97" s="83" t="n">
        <v>65</v>
      </c>
      <c r="I97" s="83">
        <f>ABS('Student Calculator'!C30-D97)</f>
        <v/>
      </c>
      <c r="J97" s="83">
        <f>ABS('Student Calculator'!D30-E97)</f>
        <v/>
      </c>
      <c r="K97" s="83">
        <f>ABS('Student Calculator'!E30-F97)</f>
        <v/>
      </c>
      <c r="L97" s="83">
        <f>ABS('Student Calculator'!F30-G97)</f>
        <v/>
      </c>
      <c r="M97" s="86">
        <f>ROUND(MAX(0, 100 - (I97*0.25 + J97*0.2 + K97*0.25 + L97*0.2)), 1)</f>
        <v/>
      </c>
      <c r="N97" s="87">
        <f>IF(M97&gt;=72,"🟢 BEST FIT",IF(M97&gt;=52,"🟡 CONSIDER","🔴 MISMATCH"))</f>
        <v/>
      </c>
      <c r="O97" s="88" t="inlineStr">
        <is>
          <t>No degree required — certification based</t>
        </is>
      </c>
      <c r="P97" s="93" t="inlineStr">
        <is>
          <t>Yes</t>
        </is>
      </c>
      <c r="Q97" s="88" t="inlineStr">
        <is>
          <t>ACE, NASM, K11 or ISSA certification — the certification is the gate, not a degree</t>
        </is>
      </c>
      <c r="R97" s="88" t="inlineStr">
        <is>
          <t>ANY degree, or none</t>
        </is>
      </c>
    </row>
    <row r="98" ht="30" customHeight="1" s="63">
      <c r="A98" s="76" t="n">
        <v>95</v>
      </c>
      <c r="B98" s="77" t="inlineStr">
        <is>
          <t>Hotel Manager</t>
        </is>
      </c>
      <c r="C98" s="78" t="inlineStr">
        <is>
          <t>Hospitality</t>
        </is>
      </c>
      <c r="D98" s="76" t="n">
        <v>70</v>
      </c>
      <c r="E98" s="76" t="n">
        <v>65</v>
      </c>
      <c r="F98" s="76" t="n">
        <v>70</v>
      </c>
      <c r="G98" s="76" t="n">
        <v>70</v>
      </c>
      <c r="H98" s="76" t="n">
        <v>80</v>
      </c>
      <c r="I98" s="76">
        <f>ABS('Student Calculator'!C30-D98)</f>
        <v/>
      </c>
      <c r="J98" s="76">
        <f>ABS('Student Calculator'!D30-E98)</f>
        <v/>
      </c>
      <c r="K98" s="76">
        <f>ABS('Student Calculator'!E30-F98)</f>
        <v/>
      </c>
      <c r="L98" s="76">
        <f>ABS('Student Calculator'!F30-G98)</f>
        <v/>
      </c>
      <c r="M98" s="79">
        <f>ROUND(MAX(0, 100 - (I98*0.25 + J98*0.2 + K98*0.25 + L98*0.2)), 1)</f>
        <v/>
      </c>
      <c r="N98" s="80">
        <f>IF(M98&gt;=72,"🟢 BEST FIT",IF(M98&gt;=52,"🟡 CONSIDER","🔴 MISMATCH"))</f>
        <v/>
      </c>
      <c r="O98" s="81" t="inlineStr">
        <is>
          <t>BHM (Hotel Management)</t>
        </is>
      </c>
      <c r="P98" s="90" t="inlineStr">
        <is>
          <t>Partly</t>
        </is>
      </c>
      <c r="Q98" s="81" t="inlineStr">
        <is>
          <t>BHM is typical, but MBA Hospitality is open to any graduate and floor-ops promotion also works</t>
        </is>
      </c>
      <c r="R98" s="81" t="inlineStr">
        <is>
          <t>ANY degree → MBA Hospitality; BHM</t>
        </is>
      </c>
    </row>
    <row r="99" ht="30" customHeight="1" s="63">
      <c r="A99" s="83" t="n">
        <v>96</v>
      </c>
      <c r="B99" s="84" t="inlineStr">
        <is>
          <t>Chef/Culinary Artist</t>
        </is>
      </c>
      <c r="C99" s="85" t="inlineStr">
        <is>
          <t>Hospitality</t>
        </is>
      </c>
      <c r="D99" s="83" t="n">
        <v>80</v>
      </c>
      <c r="E99" s="83" t="n">
        <v>55</v>
      </c>
      <c r="F99" s="83" t="n">
        <v>80</v>
      </c>
      <c r="G99" s="83" t="n">
        <v>80</v>
      </c>
      <c r="H99" s="83" t="n">
        <v>65</v>
      </c>
      <c r="I99" s="83">
        <f>ABS('Student Calculator'!C30-D99)</f>
        <v/>
      </c>
      <c r="J99" s="83">
        <f>ABS('Student Calculator'!D30-E99)</f>
        <v/>
      </c>
      <c r="K99" s="83">
        <f>ABS('Student Calculator'!E30-F99)</f>
        <v/>
      </c>
      <c r="L99" s="83">
        <f>ABS('Student Calculator'!F30-G99)</f>
        <v/>
      </c>
      <c r="M99" s="86">
        <f>ROUND(MAX(0, 100 - (I99*0.25 + J99*0.2 + K99*0.25 + L99*0.2)), 1)</f>
        <v/>
      </c>
      <c r="N99" s="87">
        <f>IF(M99&gt;=72,"🟢 BEST FIT",IF(M99&gt;=52,"🟡 CONSIDER","🔴 MISMATCH"))</f>
        <v/>
      </c>
      <c r="O99" s="88" t="inlineStr">
        <is>
          <t>BHM / culinary diploma</t>
        </is>
      </c>
      <c r="P99" s="93" t="inlineStr">
        <is>
          <t>Yes</t>
        </is>
      </c>
      <c r="Q99" s="88" t="inlineStr">
        <is>
          <t>IHM diploma, culinary institute certificate, or a kitchen apprenticeship (commis → chef)</t>
        </is>
      </c>
      <c r="R99" s="88" t="inlineStr">
        <is>
          <t>ANY degree, or none</t>
        </is>
      </c>
    </row>
    <row r="100" ht="30" customHeight="1" s="63">
      <c r="A100" s="76" t="n">
        <v>97</v>
      </c>
      <c r="B100" s="77" t="inlineStr">
        <is>
          <t>Event Manager</t>
        </is>
      </c>
      <c r="C100" s="78" t="inlineStr">
        <is>
          <t>Hospitality</t>
        </is>
      </c>
      <c r="D100" s="76" t="n">
        <v>70</v>
      </c>
      <c r="E100" s="76" t="n">
        <v>60</v>
      </c>
      <c r="F100" s="76" t="n">
        <v>75</v>
      </c>
      <c r="G100" s="76" t="n">
        <v>75</v>
      </c>
      <c r="H100" s="76" t="n">
        <v>80</v>
      </c>
      <c r="I100" s="76">
        <f>ABS('Student Calculator'!C30-D100)</f>
        <v/>
      </c>
      <c r="J100" s="76">
        <f>ABS('Student Calculator'!D30-E100)</f>
        <v/>
      </c>
      <c r="K100" s="76">
        <f>ABS('Student Calculator'!E30-F100)</f>
        <v/>
      </c>
      <c r="L100" s="76">
        <f>ABS('Student Calculator'!F30-G100)</f>
        <v/>
      </c>
      <c r="M100" s="79">
        <f>ROUND(MAX(0, 100 - (I100*0.25 + J100*0.2 + K100*0.25 + L100*0.2)), 1)</f>
        <v/>
      </c>
      <c r="N100" s="80">
        <f>IF(M100&gt;=72,"🟢 BEST FIT",IF(M100&gt;=52,"🟡 CONSIDER","🔴 MISMATCH"))</f>
        <v/>
      </c>
      <c r="O100" s="81" t="inlineStr">
        <is>
          <t>Any bachelor's degree</t>
        </is>
      </c>
      <c r="P100" s="92" t="inlineStr">
        <is>
          <t>Yes</t>
        </is>
      </c>
      <c r="Q100" s="81" t="inlineStr">
        <is>
          <t>NAEMD/EMDI diploma or an agency coordinator route — the degree is irrelevant</t>
        </is>
      </c>
      <c r="R100" s="81" t="inlineStr">
        <is>
          <t>ANY degree</t>
        </is>
      </c>
    </row>
    <row r="101" ht="30" customHeight="1" s="63">
      <c r="A101" s="83" t="n">
        <v>98</v>
      </c>
      <c r="B101" s="84" t="inlineStr">
        <is>
          <t>Travel/Tourism Manager</t>
        </is>
      </c>
      <c r="C101" s="85" t="inlineStr">
        <is>
          <t>Hospitality</t>
        </is>
      </c>
      <c r="D101" s="83" t="n">
        <v>65</v>
      </c>
      <c r="E101" s="83" t="n">
        <v>60</v>
      </c>
      <c r="F101" s="83" t="n">
        <v>70</v>
      </c>
      <c r="G101" s="83" t="n">
        <v>70</v>
      </c>
      <c r="H101" s="83" t="n">
        <v>75</v>
      </c>
      <c r="I101" s="83">
        <f>ABS('Student Calculator'!C30-D101)</f>
        <v/>
      </c>
      <c r="J101" s="83">
        <f>ABS('Student Calculator'!D30-E101)</f>
        <v/>
      </c>
      <c r="K101" s="83">
        <f>ABS('Student Calculator'!E30-F101)</f>
        <v/>
      </c>
      <c r="L101" s="83">
        <f>ABS('Student Calculator'!F30-G101)</f>
        <v/>
      </c>
      <c r="M101" s="86">
        <f>ROUND(MAX(0, 100 - (I101*0.25 + J101*0.2 + K101*0.25 + L101*0.2)), 1)</f>
        <v/>
      </c>
      <c r="N101" s="87">
        <f>IF(M101&gt;=72,"🟢 BEST FIT",IF(M101&gt;=52,"🟡 CONSIDER","🔴 MISMATCH"))</f>
        <v/>
      </c>
      <c r="O101" s="88" t="inlineStr">
        <is>
          <t>BTTM or any degree</t>
        </is>
      </c>
      <c r="P101" s="93" t="inlineStr">
        <is>
          <t>Yes</t>
        </is>
      </c>
      <c r="Q101" s="88" t="inlineStr">
        <is>
          <t>IATA certification; IITTM PG Diploma is open to any graduate</t>
        </is>
      </c>
      <c r="R101" s="88" t="inlineStr">
        <is>
          <t>ANY degree</t>
        </is>
      </c>
    </row>
    <row r="102" ht="30" customHeight="1" s="63">
      <c r="A102" s="76" t="n">
        <v>99</v>
      </c>
      <c r="B102" s="77" t="inlineStr">
        <is>
          <t>Climate/Sustainability Analyst</t>
        </is>
      </c>
      <c r="C102" s="78" t="inlineStr">
        <is>
          <t>Emerging</t>
        </is>
      </c>
      <c r="D102" s="76" t="n">
        <v>45</v>
      </c>
      <c r="E102" s="76" t="n">
        <v>85</v>
      </c>
      <c r="F102" s="76" t="n">
        <v>85</v>
      </c>
      <c r="G102" s="76" t="n">
        <v>70</v>
      </c>
      <c r="H102" s="76" t="n">
        <v>80</v>
      </c>
      <c r="I102" s="76">
        <f>ABS('Student Calculator'!C30-D102)</f>
        <v/>
      </c>
      <c r="J102" s="76">
        <f>ABS('Student Calculator'!D30-E102)</f>
        <v/>
      </c>
      <c r="K102" s="76">
        <f>ABS('Student Calculator'!E30-F102)</f>
        <v/>
      </c>
      <c r="L102" s="76">
        <f>ABS('Student Calculator'!F30-G102)</f>
        <v/>
      </c>
      <c r="M102" s="79">
        <f>ROUND(MAX(0, 100 - (I102*0.25 + J102*0.2 + K102*0.25 + L102*0.2)), 1)</f>
        <v/>
      </c>
      <c r="N102" s="80">
        <f>IF(M102&gt;=72,"🟢 BEST FIT",IF(M102&gt;=52,"🟡 CONSIDER","🔴 MISMATCH"))</f>
        <v/>
      </c>
      <c r="O102" s="81" t="inlineStr">
        <is>
          <t>Any degree + sustainability PG / certification</t>
        </is>
      </c>
      <c r="P102" s="92" t="inlineStr">
        <is>
          <t>Yes</t>
        </is>
      </c>
      <c r="Q102" s="81" t="inlineStr">
        <is>
          <t>GRI or SASB certification, M.Sc Climate Science, or ESG analyst credentials</t>
        </is>
      </c>
      <c r="R102" s="81" t="inlineStr">
        <is>
          <t>Engineering, Economics, Env. Science, Commerce, ANY degree</t>
        </is>
      </c>
    </row>
    <row r="103" ht="30" customHeight="1" s="63">
      <c r="A103" s="83" t="n">
        <v>100</v>
      </c>
      <c r="B103" s="84" t="inlineStr">
        <is>
          <t>Biotech Entrepreneur</t>
        </is>
      </c>
      <c r="C103" s="85" t="inlineStr">
        <is>
          <t>Emerging</t>
        </is>
      </c>
      <c r="D103" s="83" t="n">
        <v>70</v>
      </c>
      <c r="E103" s="83" t="n">
        <v>85</v>
      </c>
      <c r="F103" s="83" t="n">
        <v>90</v>
      </c>
      <c r="G103" s="83" t="n">
        <v>70</v>
      </c>
      <c r="H103" s="83" t="n">
        <v>85</v>
      </c>
      <c r="I103" s="83">
        <f>ABS('Student Calculator'!C30-D103)</f>
        <v/>
      </c>
      <c r="J103" s="83">
        <f>ABS('Student Calculator'!D30-E103)</f>
        <v/>
      </c>
      <c r="K103" s="83">
        <f>ABS('Student Calculator'!E30-F103)</f>
        <v/>
      </c>
      <c r="L103" s="83">
        <f>ABS('Student Calculator'!F30-G103)</f>
        <v/>
      </c>
      <c r="M103" s="86">
        <f>ROUND(MAX(0, 100 - (I103*0.25 + J103*0.2 + K103*0.25 + L103*0.2)), 1)</f>
        <v/>
      </c>
      <c r="N103" s="87">
        <f>IF(M103&gt;=72,"🟢 BEST FIT",IF(M103&gt;=52,"🟡 CONSIDER","🔴 MISMATCH"))</f>
        <v/>
      </c>
      <c r="O103" s="88" t="inlineStr">
        <is>
          <t>B.Tech / M.Sc Biotech + venture experience</t>
        </is>
      </c>
      <c r="P103" s="91" t="inlineStr">
        <is>
          <t>Partly</t>
        </is>
      </c>
      <c r="Q103" s="88" t="inlineStr">
        <is>
          <t>Real domain depth is needed; BIRAC BIG grants and C-CAMP/IKP incubators fund entry</t>
        </is>
      </c>
      <c r="R103" s="88" t="inlineStr">
        <is>
          <t>B.Tech Biotech, M.Sc Life Sciences, MBBS, B.Pharm</t>
        </is>
      </c>
    </row>
    <row r="104" ht="30" customHeight="1" s="63">
      <c r="A104" s="76" t="n">
        <v>101</v>
      </c>
      <c r="B104" s="77" t="inlineStr">
        <is>
          <t>Health Tech Founder</t>
        </is>
      </c>
      <c r="C104" s="78" t="inlineStr">
        <is>
          <t>Emerging</t>
        </is>
      </c>
      <c r="D104" s="76" t="n">
        <v>70</v>
      </c>
      <c r="E104" s="76" t="n">
        <v>80</v>
      </c>
      <c r="F104" s="76" t="n">
        <v>90</v>
      </c>
      <c r="G104" s="76" t="n">
        <v>70</v>
      </c>
      <c r="H104" s="76" t="n">
        <v>85</v>
      </c>
      <c r="I104" s="76">
        <f>ABS('Student Calculator'!C30-D104)</f>
        <v/>
      </c>
      <c r="J104" s="76">
        <f>ABS('Student Calculator'!D30-E104)</f>
        <v/>
      </c>
      <c r="K104" s="76">
        <f>ABS('Student Calculator'!E30-F104)</f>
        <v/>
      </c>
      <c r="L104" s="76">
        <f>ABS('Student Calculator'!F30-G104)</f>
        <v/>
      </c>
      <c r="M104" s="79">
        <f>ROUND(MAX(0, 100 - (I104*0.25 + J104*0.2 + K104*0.25 + L104*0.2)), 1)</f>
        <v/>
      </c>
      <c r="N104" s="80">
        <f>IF(M104&gt;=72,"🟢 BEST FIT",IF(M104&gt;=52,"🟡 CONSIDER","🔴 MISMATCH"))</f>
        <v/>
      </c>
      <c r="O104" s="81" t="inlineStr">
        <is>
          <t>Any degree + healthcare or tech insight</t>
        </is>
      </c>
      <c r="P104" s="92" t="inlineStr">
        <is>
          <t>Yes</t>
        </is>
      </c>
      <c r="Q104" s="81" t="inlineStr">
        <is>
          <t>Domain experience plus a complementary co-founder; there is no formal route</t>
        </is>
      </c>
      <c r="R104" s="81" t="inlineStr">
        <is>
          <t>MBBS, Engineering, MBA, ANY degree</t>
        </is>
      </c>
    </row>
    <row r="105" ht="30" customHeight="1" s="63">
      <c r="A105" s="83" t="n">
        <v>102</v>
      </c>
      <c r="B105" s="84" t="inlineStr">
        <is>
          <t>EdTech Founder</t>
        </is>
      </c>
      <c r="C105" s="85" t="inlineStr">
        <is>
          <t>Emerging</t>
        </is>
      </c>
      <c r="D105" s="83" t="n">
        <v>55</v>
      </c>
      <c r="E105" s="83" t="n">
        <v>75</v>
      </c>
      <c r="F105" s="83" t="n">
        <v>90</v>
      </c>
      <c r="G105" s="83" t="n">
        <v>75</v>
      </c>
      <c r="H105" s="83" t="n">
        <v>85</v>
      </c>
      <c r="I105" s="83">
        <f>ABS('Student Calculator'!C30-D105)</f>
        <v/>
      </c>
      <c r="J105" s="83">
        <f>ABS('Student Calculator'!D30-E105)</f>
        <v/>
      </c>
      <c r="K105" s="83">
        <f>ABS('Student Calculator'!E30-F105)</f>
        <v/>
      </c>
      <c r="L105" s="83">
        <f>ABS('Student Calculator'!F30-G105)</f>
        <v/>
      </c>
      <c r="M105" s="86">
        <f>ROUND(MAX(0, 100 - (I105*0.25 + J105*0.2 + K105*0.25 + L105*0.2)), 1)</f>
        <v/>
      </c>
      <c r="N105" s="87">
        <f>IF(M105&gt;=72,"🟢 BEST FIT",IF(M105&gt;=52,"🟡 CONSIDER","🔴 MISMATCH"))</f>
        <v/>
      </c>
      <c r="O105" s="88" t="inlineStr">
        <is>
          <t>Any degree + teaching or product insight</t>
        </is>
      </c>
      <c r="P105" s="93" t="inlineStr">
        <is>
          <t>Yes</t>
        </is>
      </c>
      <c r="Q105" s="88" t="inlineStr">
        <is>
          <t>Teaching experience or a product background; incubators, no formal route</t>
        </is>
      </c>
      <c r="R105" s="88" t="inlineStr">
        <is>
          <t>ANY degree</t>
        </is>
      </c>
    </row>
    <row r="106" ht="30" customHeight="1" s="63">
      <c r="A106" s="76" t="n">
        <v>103</v>
      </c>
      <c r="B106" s="77" t="inlineStr">
        <is>
          <t>FinTech Analyst</t>
        </is>
      </c>
      <c r="C106" s="78" t="inlineStr">
        <is>
          <t>Emerging</t>
        </is>
      </c>
      <c r="D106" s="76" t="n">
        <v>50</v>
      </c>
      <c r="E106" s="76" t="n">
        <v>90</v>
      </c>
      <c r="F106" s="76" t="n">
        <v>75</v>
      </c>
      <c r="G106" s="76" t="n">
        <v>60</v>
      </c>
      <c r="H106" s="76" t="n">
        <v>85</v>
      </c>
      <c r="I106" s="76">
        <f>ABS('Student Calculator'!C30-D106)</f>
        <v/>
      </c>
      <c r="J106" s="76">
        <f>ABS('Student Calculator'!D30-E106)</f>
        <v/>
      </c>
      <c r="K106" s="76">
        <f>ABS('Student Calculator'!E30-F106)</f>
        <v/>
      </c>
      <c r="L106" s="76">
        <f>ABS('Student Calculator'!F30-G106)</f>
        <v/>
      </c>
      <c r="M106" s="79">
        <f>ROUND(MAX(0, 100 - (I106*0.25 + J106*0.2 + K106*0.25 + L106*0.2)), 1)</f>
        <v/>
      </c>
      <c r="N106" s="80">
        <f>IF(M106&gt;=72,"🟢 BEST FIT",IF(M106&gt;=52,"🟡 CONSIDER","🔴 MISMATCH"))</f>
        <v/>
      </c>
      <c r="O106" s="81" t="inlineStr">
        <is>
          <t>B.Com / BE + finance knowledge</t>
        </is>
      </c>
      <c r="P106" s="92" t="inlineStr">
        <is>
          <t>Yes</t>
        </is>
      </c>
      <c r="Q106" s="81" t="inlineStr">
        <is>
          <t>NISM certifications, SQL and product analytics; pivot from banking or engineering</t>
        </is>
      </c>
      <c r="R106" s="81" t="inlineStr">
        <is>
          <t>B.Com, BBA, BE, Economics, CA</t>
        </is>
      </c>
    </row>
    <row r="107" ht="30" customHeight="1" s="63">
      <c r="A107" s="83" t="n">
        <v>104</v>
      </c>
      <c r="B107" s="84" t="inlineStr">
        <is>
          <t>Blockchain Developer</t>
        </is>
      </c>
      <c r="C107" s="85" t="inlineStr">
        <is>
          <t>Technology</t>
        </is>
      </c>
      <c r="D107" s="83" t="n">
        <v>45</v>
      </c>
      <c r="E107" s="83" t="n">
        <v>90</v>
      </c>
      <c r="F107" s="83" t="n">
        <v>75</v>
      </c>
      <c r="G107" s="83" t="n">
        <v>45</v>
      </c>
      <c r="H107" s="83" t="n">
        <v>80</v>
      </c>
      <c r="I107" s="83">
        <f>ABS('Student Calculator'!C30-D107)</f>
        <v/>
      </c>
      <c r="J107" s="83">
        <f>ABS('Student Calculator'!D30-E107)</f>
        <v/>
      </c>
      <c r="K107" s="83">
        <f>ABS('Student Calculator'!E30-F107)</f>
        <v/>
      </c>
      <c r="L107" s="83">
        <f>ABS('Student Calculator'!F30-G107)</f>
        <v/>
      </c>
      <c r="M107" s="86">
        <f>ROUND(MAX(0, 100 - (I107*0.25 + J107*0.2 + K107*0.25 + L107*0.2)), 1)</f>
        <v/>
      </c>
      <c r="N107" s="87">
        <f>IF(M107&gt;=72,"🟢 BEST FIT",IF(M107&gt;=52,"🟡 CONSIDER","🔴 MISMATCH"))</f>
        <v/>
      </c>
      <c r="O107" s="88" t="inlineStr">
        <is>
          <t>B.Tech CSE or any degree + Solidity skills</t>
        </is>
      </c>
      <c r="P107" s="93" t="inlineStr">
        <is>
          <t>Yes</t>
        </is>
      </c>
      <c r="Q107" s="88" t="inlineStr">
        <is>
          <t>Self-taught Solidity/Rust, hackathons and open-source contributions</t>
        </is>
      </c>
      <c r="R107" s="88" t="inlineStr">
        <is>
          <t>ANY degree with a coding portfolio</t>
        </is>
      </c>
    </row>
    <row r="108" ht="30" customHeight="1" s="63">
      <c r="A108" s="76" t="n">
        <v>105</v>
      </c>
      <c r="B108" s="77" t="inlineStr">
        <is>
          <t>Robotics Engineer</t>
        </is>
      </c>
      <c r="C108" s="78" t="inlineStr">
        <is>
          <t>Engineering</t>
        </is>
      </c>
      <c r="D108" s="76" t="n">
        <v>80</v>
      </c>
      <c r="E108" s="76" t="n">
        <v>85</v>
      </c>
      <c r="F108" s="76" t="n">
        <v>70</v>
      </c>
      <c r="G108" s="76" t="n">
        <v>60</v>
      </c>
      <c r="H108" s="76" t="n">
        <v>75</v>
      </c>
      <c r="I108" s="76">
        <f>ABS('Student Calculator'!C30-D108)</f>
        <v/>
      </c>
      <c r="J108" s="76">
        <f>ABS('Student Calculator'!D30-E108)</f>
        <v/>
      </c>
      <c r="K108" s="76">
        <f>ABS('Student Calculator'!E30-F108)</f>
        <v/>
      </c>
      <c r="L108" s="76">
        <f>ABS('Student Calculator'!F30-G108)</f>
        <v/>
      </c>
      <c r="M108" s="79">
        <f>ROUND(MAX(0, 100 - (I108*0.25 + J108*0.2 + K108*0.25 + L108*0.2)), 1)</f>
        <v/>
      </c>
      <c r="N108" s="80">
        <f>IF(M108&gt;=72,"🟢 BEST FIT",IF(M108&gt;=52,"🟡 CONSIDER","🔴 MISMATCH"))</f>
        <v/>
      </c>
      <c r="O108" s="81" t="inlineStr">
        <is>
          <t>B.Tech Mechanical / ECE / CSE</t>
        </is>
      </c>
      <c r="P108" s="90" t="inlineStr">
        <is>
          <t>Partly</t>
        </is>
      </c>
      <c r="Q108" s="81" t="inlineStr">
        <is>
          <t>M.Tech Robotics via GATE from Mechanical, Electrical or CS; a ROS project portfolio helps</t>
        </is>
      </c>
      <c r="R108" s="81" t="inlineStr">
        <is>
          <t>BE Mech/ECE/EEE/CSE/Instrumentation</t>
        </is>
      </c>
    </row>
    <row r="109" ht="30" customHeight="1" s="63">
      <c r="A109" s="83" t="n">
        <v>106</v>
      </c>
      <c r="B109" s="84" t="inlineStr">
        <is>
          <t>Space Technology Engineer</t>
        </is>
      </c>
      <c r="C109" s="85" t="inlineStr">
        <is>
          <t>Engineering</t>
        </is>
      </c>
      <c r="D109" s="83" t="n">
        <v>75</v>
      </c>
      <c r="E109" s="83" t="n">
        <v>90</v>
      </c>
      <c r="F109" s="83" t="n">
        <v>75</v>
      </c>
      <c r="G109" s="83" t="n">
        <v>60</v>
      </c>
      <c r="H109" s="83" t="n">
        <v>80</v>
      </c>
      <c r="I109" s="83">
        <f>ABS('Student Calculator'!C30-D109)</f>
        <v/>
      </c>
      <c r="J109" s="83">
        <f>ABS('Student Calculator'!D30-E109)</f>
        <v/>
      </c>
      <c r="K109" s="83">
        <f>ABS('Student Calculator'!E30-F109)</f>
        <v/>
      </c>
      <c r="L109" s="83">
        <f>ABS('Student Calculator'!F30-G109)</f>
        <v/>
      </c>
      <c r="M109" s="86">
        <f>ROUND(MAX(0, 100 - (I109*0.25 + J109*0.2 + K109*0.25 + L109*0.2)), 1)</f>
        <v/>
      </c>
      <c r="N109" s="87">
        <f>IF(M109&gt;=72,"🟢 BEST FIT",IF(M109&gt;=52,"🟡 CONSIDER","🔴 MISMATCH"))</f>
        <v/>
      </c>
      <c r="O109" s="88" t="inlineStr">
        <is>
          <t>B.Tech Aerospace / Mechanical / ECE</t>
        </is>
      </c>
      <c r="P109" s="91" t="inlineStr">
        <is>
          <t>Partly</t>
        </is>
      </c>
      <c r="Q109" s="88" t="inlineStr">
        <is>
          <t>ISRO ICRB exam (any BE/B.Tech), the IIST route, or M.Tech via GATE</t>
        </is>
      </c>
      <c r="R109" s="88" t="inlineStr">
        <is>
          <t>BE Mech/ECE/EEE/CSE/Aero, M.Sc Physics</t>
        </is>
      </c>
    </row>
    <row r="110" ht="30" customHeight="1" s="63">
      <c r="A110" s="76" t="n">
        <v>107</v>
      </c>
      <c r="B110" s="77" t="inlineStr">
        <is>
          <t>Nanotechnologist</t>
        </is>
      </c>
      <c r="C110" s="78" t="inlineStr">
        <is>
          <t>Research</t>
        </is>
      </c>
      <c r="D110" s="76" t="n">
        <v>50</v>
      </c>
      <c r="E110" s="76" t="n">
        <v>92</v>
      </c>
      <c r="F110" s="76" t="n">
        <v>78</v>
      </c>
      <c r="G110" s="76" t="n">
        <v>55</v>
      </c>
      <c r="H110" s="76" t="n">
        <v>78</v>
      </c>
      <c r="I110" s="76">
        <f>ABS('Student Calculator'!C30-D110)</f>
        <v/>
      </c>
      <c r="J110" s="76">
        <f>ABS('Student Calculator'!D30-E110)</f>
        <v/>
      </c>
      <c r="K110" s="76">
        <f>ABS('Student Calculator'!E30-F110)</f>
        <v/>
      </c>
      <c r="L110" s="76">
        <f>ABS('Student Calculator'!F30-G110)</f>
        <v/>
      </c>
      <c r="M110" s="79">
        <f>ROUND(MAX(0, 100 - (I110*0.25 + J110*0.2 + K110*0.25 + L110*0.2)), 1)</f>
        <v/>
      </c>
      <c r="N110" s="80">
        <f>IF(M110&gt;=72,"🟢 BEST FIT",IF(M110&gt;=52,"🟡 CONSIDER","🔴 MISMATCH"))</f>
        <v/>
      </c>
      <c r="O110" s="81" t="inlineStr">
        <is>
          <t>B.Tech / M.Sc Nanotechnology or Materials</t>
        </is>
      </c>
      <c r="P110" s="90" t="inlineStr">
        <is>
          <t>Partly</t>
        </is>
      </c>
      <c r="Q110" s="81" t="inlineStr">
        <is>
          <t>M.Tech or M.Sc Nanoscience via GATE/JAM from Physics, Chemistry or Materials</t>
        </is>
      </c>
      <c r="R110" s="81" t="inlineStr">
        <is>
          <t>B.Sc Physics/Chemistry, BE Materials/Chemical/ECE</t>
        </is>
      </c>
    </row>
    <row r="111" ht="30" customHeight="1" s="63">
      <c r="A111" s="83" t="n">
        <v>108</v>
      </c>
      <c r="B111" s="84" t="inlineStr">
        <is>
          <t>Forensic Scientist</t>
        </is>
      </c>
      <c r="C111" s="85" t="inlineStr">
        <is>
          <t>Science</t>
        </is>
      </c>
      <c r="D111" s="83" t="n">
        <v>70</v>
      </c>
      <c r="E111" s="83" t="n">
        <v>85</v>
      </c>
      <c r="F111" s="83" t="n">
        <v>72</v>
      </c>
      <c r="G111" s="83" t="n">
        <v>60</v>
      </c>
      <c r="H111" s="83" t="n">
        <v>75</v>
      </c>
      <c r="I111" s="83">
        <f>ABS('Student Calculator'!C30-D111)</f>
        <v/>
      </c>
      <c r="J111" s="83">
        <f>ABS('Student Calculator'!D30-E111)</f>
        <v/>
      </c>
      <c r="K111" s="83">
        <f>ABS('Student Calculator'!E30-F111)</f>
        <v/>
      </c>
      <c r="L111" s="83">
        <f>ABS('Student Calculator'!F30-G111)</f>
        <v/>
      </c>
      <c r="M111" s="86">
        <f>ROUND(MAX(0, 100 - (I111*0.25 + J111*0.2 + K111*0.25 + L111*0.2)), 1)</f>
        <v/>
      </c>
      <c r="N111" s="87">
        <f>IF(M111&gt;=72,"🟢 BEST FIT",IF(M111&gt;=52,"🟡 CONSIDER","🔴 MISMATCH"))</f>
        <v/>
      </c>
      <c r="O111" s="88" t="inlineStr">
        <is>
          <t>B.Sc Forensic Science → M.Sc</t>
        </is>
      </c>
      <c r="P111" s="91" t="inlineStr">
        <is>
          <t>Partly</t>
        </is>
      </c>
      <c r="Q111" s="88" t="inlineStr">
        <is>
          <t>M.Sc Forensic Science is open to B.Sc Chemistry, Biology, Physics and Zoology graduates</t>
        </is>
      </c>
      <c r="R111" s="88" t="inlineStr">
        <is>
          <t>B.Sc Chem/Bio/Physics/Microbiology, B.Pharm</t>
        </is>
      </c>
    </row>
    <row r="112" ht="30" customHeight="1" s="63">
      <c r="A112" s="76" t="n">
        <v>109</v>
      </c>
      <c r="B112" s="77" t="inlineStr">
        <is>
          <t>Epidemiologist</t>
        </is>
      </c>
      <c r="C112" s="78" t="inlineStr">
        <is>
          <t>Research</t>
        </is>
      </c>
      <c r="D112" s="76" t="n">
        <v>45</v>
      </c>
      <c r="E112" s="76" t="n">
        <v>88</v>
      </c>
      <c r="F112" s="76" t="n">
        <v>80</v>
      </c>
      <c r="G112" s="76" t="n">
        <v>60</v>
      </c>
      <c r="H112" s="76" t="n">
        <v>80</v>
      </c>
      <c r="I112" s="76">
        <f>ABS('Student Calculator'!C30-D112)</f>
        <v/>
      </c>
      <c r="J112" s="76">
        <f>ABS('Student Calculator'!D30-E112)</f>
        <v/>
      </c>
      <c r="K112" s="76">
        <f>ABS('Student Calculator'!E30-F112)</f>
        <v/>
      </c>
      <c r="L112" s="76">
        <f>ABS('Student Calculator'!F30-G112)</f>
        <v/>
      </c>
      <c r="M112" s="79">
        <f>ROUND(MAX(0, 100 - (I112*0.25 + J112*0.2 + K112*0.25 + L112*0.2)), 1)</f>
        <v/>
      </c>
      <c r="N112" s="80">
        <f>IF(M112&gt;=72,"🟢 BEST FIT",IF(M112&gt;=52,"🟡 CONSIDER","🔴 MISMATCH"))</f>
        <v/>
      </c>
      <c r="O112" s="81" t="inlineStr">
        <is>
          <t>MBBS or B.Sc + MPH / M.Sc Epidemiology</t>
        </is>
      </c>
      <c r="P112" s="92" t="inlineStr">
        <is>
          <t>Yes</t>
        </is>
      </c>
      <c r="Q112" s="81" t="inlineStr">
        <is>
          <t>MPH is open to ANY graduate at many schools (IIPH, TISS); strong statistics helps</t>
        </is>
      </c>
      <c r="R112" s="81" t="inlineStr">
        <is>
          <t>MBBS, BDS, B.Sc, Statistics, ANY degree → MPH</t>
        </is>
      </c>
    </row>
    <row r="113" ht="30" customHeight="1" s="63">
      <c r="A113" s="83" t="n">
        <v>110</v>
      </c>
      <c r="B113" s="84" t="inlineStr">
        <is>
          <t>Sports Scientist</t>
        </is>
      </c>
      <c r="C113" s="85" t="inlineStr">
        <is>
          <t>Sports</t>
        </is>
      </c>
      <c r="D113" s="83" t="n">
        <v>80</v>
      </c>
      <c r="E113" s="83" t="n">
        <v>80</v>
      </c>
      <c r="F113" s="83" t="n">
        <v>75</v>
      </c>
      <c r="G113" s="83" t="n">
        <v>72</v>
      </c>
      <c r="H113" s="83" t="n">
        <v>75</v>
      </c>
      <c r="I113" s="83">
        <f>ABS('Student Calculator'!C30-D113)</f>
        <v/>
      </c>
      <c r="J113" s="83">
        <f>ABS('Student Calculator'!D30-E113)</f>
        <v/>
      </c>
      <c r="K113" s="83">
        <f>ABS('Student Calculator'!E30-F113)</f>
        <v/>
      </c>
      <c r="L113" s="83">
        <f>ABS('Student Calculator'!F30-G113)</f>
        <v/>
      </c>
      <c r="M113" s="86">
        <f>ROUND(MAX(0, 100 - (I113*0.25 + J113*0.2 + K113*0.25 + L113*0.2)), 1)</f>
        <v/>
      </c>
      <c r="N113" s="87">
        <f>IF(M113&gt;=72,"🟢 BEST FIT",IF(M113&gt;=52,"🟡 CONSIDER","🔴 MISMATCH"))</f>
        <v/>
      </c>
      <c r="O113" s="88" t="inlineStr">
        <is>
          <t>B.Sc Sports Science / BPEd → M.Sc</t>
        </is>
      </c>
      <c r="P113" s="91" t="inlineStr">
        <is>
          <t>Partly</t>
        </is>
      </c>
      <c r="Q113" s="88" t="inlineStr">
        <is>
          <t>M.Sc Sports Science, or strength &amp; conditioning certification (NSCA-CSCS)</t>
        </is>
      </c>
      <c r="R113" s="88" t="inlineStr">
        <is>
          <t>BPT, B.Sc Biology, BPEd, ANY degree with certification</t>
        </is>
      </c>
    </row>
    <row r="114" ht="30" customHeight="1" s="63">
      <c r="A114" s="76" t="n">
        <v>111</v>
      </c>
      <c r="B114" s="77" t="inlineStr">
        <is>
          <t>CA (Chartered Accountant)</t>
        </is>
      </c>
      <c r="C114" s="78" t="inlineStr">
        <is>
          <t>Finance</t>
        </is>
      </c>
      <c r="D114" s="76" t="n">
        <v>38</v>
      </c>
      <c r="E114" s="76" t="n">
        <v>90</v>
      </c>
      <c r="F114" s="76" t="n">
        <v>62</v>
      </c>
      <c r="G114" s="76" t="n">
        <v>38</v>
      </c>
      <c r="H114" s="76" t="n">
        <v>88</v>
      </c>
      <c r="I114" s="76">
        <f>ABS('Student Calculator'!C30-D114)</f>
        <v/>
      </c>
      <c r="J114" s="76">
        <f>ABS('Student Calculator'!D30-E114)</f>
        <v/>
      </c>
      <c r="K114" s="76">
        <f>ABS('Student Calculator'!E30-F114)</f>
        <v/>
      </c>
      <c r="L114" s="76">
        <f>ABS('Student Calculator'!F30-G114)</f>
        <v/>
      </c>
      <c r="M114" s="79">
        <f>ROUND(MAX(0, 100 - (I114*0.25 + J114*0.2 + K114*0.25 + L114*0.2)), 1)</f>
        <v/>
      </c>
      <c r="N114" s="80">
        <f>IF(M114&gt;=72,"🟢 BEST FIT",IF(M114&gt;=52,"🟡 CONSIDER","🔴 MISMATCH"))</f>
        <v/>
      </c>
      <c r="O114" s="81" t="inlineStr">
        <is>
          <t>ICAI — no degree required</t>
        </is>
      </c>
      <c r="P114" s="92" t="inlineStr">
        <is>
          <t>Yes</t>
        </is>
      </c>
      <c r="Q114" s="81" t="inlineStr">
        <is>
          <t>Foundation route after Class 12, or Direct Entry after ANY graduation</t>
        </is>
      </c>
      <c r="R114" s="81" t="inlineStr">
        <is>
          <t>ANY graduate via ICAI Direct Entry</t>
        </is>
      </c>
    </row>
    <row r="115" ht="30" customHeight="1" s="63">
      <c r="A115" s="83" t="n">
        <v>112</v>
      </c>
      <c r="B115" s="84" t="inlineStr">
        <is>
          <t>CS (Company Secretary)</t>
        </is>
      </c>
      <c r="C115" s="85" t="inlineStr">
        <is>
          <t>Finance</t>
        </is>
      </c>
      <c r="D115" s="83" t="n">
        <v>35</v>
      </c>
      <c r="E115" s="83" t="n">
        <v>88</v>
      </c>
      <c r="F115" s="83" t="n">
        <v>60</v>
      </c>
      <c r="G115" s="83" t="n">
        <v>38</v>
      </c>
      <c r="H115" s="83" t="n">
        <v>85</v>
      </c>
      <c r="I115" s="83">
        <f>ABS('Student Calculator'!C30-D115)</f>
        <v/>
      </c>
      <c r="J115" s="83">
        <f>ABS('Student Calculator'!D30-E115)</f>
        <v/>
      </c>
      <c r="K115" s="83">
        <f>ABS('Student Calculator'!E30-F115)</f>
        <v/>
      </c>
      <c r="L115" s="83">
        <f>ABS('Student Calculator'!F30-G115)</f>
        <v/>
      </c>
      <c r="M115" s="86">
        <f>ROUND(MAX(0, 100 - (I115*0.25 + J115*0.2 + K115*0.25 + L115*0.2)), 1)</f>
        <v/>
      </c>
      <c r="N115" s="87">
        <f>IF(M115&gt;=72,"🟢 BEST FIT",IF(M115&gt;=52,"🟡 CONSIDER","🔴 MISMATCH"))</f>
        <v/>
      </c>
      <c r="O115" s="88" t="inlineStr">
        <is>
          <t>ICSI — no degree required</t>
        </is>
      </c>
      <c r="P115" s="93" t="inlineStr">
        <is>
          <t>Yes</t>
        </is>
      </c>
      <c r="Q115" s="88" t="inlineStr">
        <is>
          <t>CSEET after Class 12, or direct Executive-level entry after ANY graduation</t>
        </is>
      </c>
      <c r="R115" s="88" t="inlineStr">
        <is>
          <t>ANY graduate; Commerce and Law are common</t>
        </is>
      </c>
    </row>
    <row r="116" ht="30" customHeight="1" s="63">
      <c r="A116" s="76" t="n">
        <v>113</v>
      </c>
      <c r="B116" s="77" t="inlineStr">
        <is>
          <t>CMA (Cost Accountant)</t>
        </is>
      </c>
      <c r="C116" s="78" t="inlineStr">
        <is>
          <t>Finance</t>
        </is>
      </c>
      <c r="D116" s="76" t="n">
        <v>38</v>
      </c>
      <c r="E116" s="76" t="n">
        <v>88</v>
      </c>
      <c r="F116" s="76" t="n">
        <v>60</v>
      </c>
      <c r="G116" s="76" t="n">
        <v>38</v>
      </c>
      <c r="H116" s="76" t="n">
        <v>85</v>
      </c>
      <c r="I116" s="76">
        <f>ABS('Student Calculator'!C30-D116)</f>
        <v/>
      </c>
      <c r="J116" s="76">
        <f>ABS('Student Calculator'!D30-E116)</f>
        <v/>
      </c>
      <c r="K116" s="76">
        <f>ABS('Student Calculator'!E30-F116)</f>
        <v/>
      </c>
      <c r="L116" s="76">
        <f>ABS('Student Calculator'!F30-G116)</f>
        <v/>
      </c>
      <c r="M116" s="79">
        <f>ROUND(MAX(0, 100 - (I116*0.25 + J116*0.2 + K116*0.25 + L116*0.2)), 1)</f>
        <v/>
      </c>
      <c r="N116" s="80">
        <f>IF(M116&gt;=72,"🟢 BEST FIT",IF(M116&gt;=52,"🟡 CONSIDER","🔴 MISMATCH"))</f>
        <v/>
      </c>
      <c r="O116" s="81" t="inlineStr">
        <is>
          <t>ICMAI — no degree required</t>
        </is>
      </c>
      <c r="P116" s="92" t="inlineStr">
        <is>
          <t>Yes</t>
        </is>
      </c>
      <c r="Q116" s="81" t="inlineStr">
        <is>
          <t>Foundation after Class 12, or direct Intermediate entry after ANY graduation</t>
        </is>
      </c>
      <c r="R116" s="81" t="inlineStr">
        <is>
          <t>ANY graduate</t>
        </is>
      </c>
    </row>
    <row r="117" ht="30" customHeight="1" s="63">
      <c r="A117" s="83" t="n">
        <v>114</v>
      </c>
      <c r="B117" s="84" t="inlineStr">
        <is>
          <t>UPSC — Indian Forest Service</t>
        </is>
      </c>
      <c r="C117" s="85" t="inlineStr">
        <is>
          <t>Civil Services</t>
        </is>
      </c>
      <c r="D117" s="83" t="n">
        <v>65</v>
      </c>
      <c r="E117" s="83" t="n">
        <v>80</v>
      </c>
      <c r="F117" s="83" t="n">
        <v>80</v>
      </c>
      <c r="G117" s="83" t="n">
        <v>72</v>
      </c>
      <c r="H117" s="83" t="n">
        <v>88</v>
      </c>
      <c r="I117" s="83">
        <f>ABS('Student Calculator'!C30-D117)</f>
        <v/>
      </c>
      <c r="J117" s="83">
        <f>ABS('Student Calculator'!D30-E117)</f>
        <v/>
      </c>
      <c r="K117" s="83">
        <f>ABS('Student Calculator'!E30-F117)</f>
        <v/>
      </c>
      <c r="L117" s="83">
        <f>ABS('Student Calculator'!F30-G117)</f>
        <v/>
      </c>
      <c r="M117" s="86">
        <f>ROUND(MAX(0, 100 - (I117*0.25 + J117*0.2 + K117*0.25 + L117*0.2)), 1)</f>
        <v/>
      </c>
      <c r="N117" s="87">
        <f>IF(M117&gt;=72,"🟢 BEST FIT",IF(M117&gt;=52,"🟡 CONSIDER","🔴 MISMATCH"))</f>
        <v/>
      </c>
      <c r="O117" s="88" t="inlineStr">
        <is>
          <t>Bachelor's with a prescribed science/engineering subject</t>
        </is>
      </c>
      <c r="P117" s="91" t="inlineStr">
        <is>
          <t>Partly</t>
        </is>
      </c>
      <c r="Q117" s="88" t="inlineStr">
        <is>
          <t>IFoS requires a degree containing Animal Husbandry, Botany, Chemistry, Geology, Maths, Physics, Statistics, Zoology, or Agriculture/Forestry/Engineering</t>
        </is>
      </c>
      <c r="R117" s="88" t="inlineStr">
        <is>
          <t>B.Sc science streams, BE/B.Tech, B.Sc Agriculture/Forestry</t>
        </is>
      </c>
    </row>
    <row r="118" ht="30" customHeight="1" s="63">
      <c r="A118" s="76" t="n">
        <v>115</v>
      </c>
      <c r="B118" s="77" t="inlineStr">
        <is>
          <t>State PSC Officer</t>
        </is>
      </c>
      <c r="C118" s="78" t="inlineStr">
        <is>
          <t>Civil Services</t>
        </is>
      </c>
      <c r="D118" s="76" t="n">
        <v>55</v>
      </c>
      <c r="E118" s="76" t="n">
        <v>72</v>
      </c>
      <c r="F118" s="76" t="n">
        <v>75</v>
      </c>
      <c r="G118" s="76" t="n">
        <v>65</v>
      </c>
      <c r="H118" s="76" t="n">
        <v>85</v>
      </c>
      <c r="I118" s="76">
        <f>ABS('Student Calculator'!C30-D118)</f>
        <v/>
      </c>
      <c r="J118" s="76">
        <f>ABS('Student Calculator'!D30-E118)</f>
        <v/>
      </c>
      <c r="K118" s="76">
        <f>ABS('Student Calculator'!E30-F118)</f>
        <v/>
      </c>
      <c r="L118" s="76">
        <f>ABS('Student Calculator'!F30-G118)</f>
        <v/>
      </c>
      <c r="M118" s="79">
        <f>ROUND(MAX(0, 100 - (I118*0.25 + J118*0.2 + K118*0.25 + L118*0.2)), 1)</f>
        <v/>
      </c>
      <c r="N118" s="80">
        <f>IF(M118&gt;=72,"🟢 BEST FIT",IF(M118&gt;=52,"🟡 CONSIDER","🔴 MISMATCH"))</f>
        <v/>
      </c>
      <c r="O118" s="81" t="inlineStr">
        <is>
          <t>Any bachelor's degree</t>
        </is>
      </c>
      <c r="P118" s="92" t="inlineStr">
        <is>
          <t>Yes</t>
        </is>
      </c>
      <c r="Q118" s="81" t="inlineStr">
        <is>
          <t>State PSC examination — open to ANY graduate</t>
        </is>
      </c>
      <c r="R118" s="81" t="inlineStr">
        <is>
          <t>ANY degree</t>
        </is>
      </c>
    </row>
    <row r="119" ht="30" customHeight="1" s="63">
      <c r="A119" s="83" t="n">
        <v>116</v>
      </c>
      <c r="B119" s="84" t="inlineStr">
        <is>
          <t>Bank PO</t>
        </is>
      </c>
      <c r="C119" s="85" t="inlineStr">
        <is>
          <t>Banking</t>
        </is>
      </c>
      <c r="D119" s="83" t="n">
        <v>50</v>
      </c>
      <c r="E119" s="83" t="n">
        <v>78</v>
      </c>
      <c r="F119" s="83" t="n">
        <v>65</v>
      </c>
      <c r="G119" s="83" t="n">
        <v>58</v>
      </c>
      <c r="H119" s="83" t="n">
        <v>80</v>
      </c>
      <c r="I119" s="83">
        <f>ABS('Student Calculator'!C30-D119)</f>
        <v/>
      </c>
      <c r="J119" s="83">
        <f>ABS('Student Calculator'!D30-E119)</f>
        <v/>
      </c>
      <c r="K119" s="83">
        <f>ABS('Student Calculator'!E30-F119)</f>
        <v/>
      </c>
      <c r="L119" s="83">
        <f>ABS('Student Calculator'!F30-G119)</f>
        <v/>
      </c>
      <c r="M119" s="86">
        <f>ROUND(MAX(0, 100 - (I119*0.25 + J119*0.2 + K119*0.25 + L119*0.2)), 1)</f>
        <v/>
      </c>
      <c r="N119" s="87">
        <f>IF(M119&gt;=72,"🟢 BEST FIT",IF(M119&gt;=52,"🟡 CONSIDER","🔴 MISMATCH"))</f>
        <v/>
      </c>
      <c r="O119" s="88" t="inlineStr">
        <is>
          <t>Any bachelor's degree</t>
        </is>
      </c>
      <c r="P119" s="93" t="inlineStr">
        <is>
          <t>Yes</t>
        </is>
      </c>
      <c r="Q119" s="88" t="inlineStr">
        <is>
          <t>IBPS PO / SBI PO — open to ANY graduate in any discipline</t>
        </is>
      </c>
      <c r="R119" s="88" t="inlineStr">
        <is>
          <t>ANY degree</t>
        </is>
      </c>
    </row>
    <row r="120" ht="30" customHeight="1" s="63">
      <c r="A120" s="76" t="n">
        <v>117</v>
      </c>
      <c r="B120" s="77" t="inlineStr">
        <is>
          <t>Insurance Analyst</t>
        </is>
      </c>
      <c r="C120" s="78" t="inlineStr">
        <is>
          <t>Finance</t>
        </is>
      </c>
      <c r="D120" s="76" t="n">
        <v>45</v>
      </c>
      <c r="E120" s="76" t="n">
        <v>80</v>
      </c>
      <c r="F120" s="76" t="n">
        <v>65</v>
      </c>
      <c r="G120" s="76" t="n">
        <v>55</v>
      </c>
      <c r="H120" s="76" t="n">
        <v>78</v>
      </c>
      <c r="I120" s="76">
        <f>ABS('Student Calculator'!C30-D120)</f>
        <v/>
      </c>
      <c r="J120" s="76">
        <f>ABS('Student Calculator'!D30-E120)</f>
        <v/>
      </c>
      <c r="K120" s="76">
        <f>ABS('Student Calculator'!E30-F120)</f>
        <v/>
      </c>
      <c r="L120" s="76">
        <f>ABS('Student Calculator'!F30-G120)</f>
        <v/>
      </c>
      <c r="M120" s="79">
        <f>ROUND(MAX(0, 100 - (I120*0.25 + J120*0.2 + K120*0.25 + L120*0.2)), 1)</f>
        <v/>
      </c>
      <c r="N120" s="80">
        <f>IF(M120&gt;=72,"🟢 BEST FIT",IF(M120&gt;=52,"🟡 CONSIDER","🔴 MISMATCH"))</f>
        <v/>
      </c>
      <c r="O120" s="81" t="inlineStr">
        <is>
          <t>Any degree + Insurance Institute of India certification</t>
        </is>
      </c>
      <c r="P120" s="92" t="inlineStr">
        <is>
          <t>Yes</t>
        </is>
      </c>
      <c r="Q120" s="81" t="inlineStr">
        <is>
          <t>III Licentiate / Associate / Fellowship examinations</t>
        </is>
      </c>
      <c r="R120" s="81" t="inlineStr">
        <is>
          <t>B.Com, BBA, B.Sc, ANY degree</t>
        </is>
      </c>
    </row>
    <row r="121" ht="30" customHeight="1" s="63">
      <c r="A121" s="83" t="n">
        <v>118</v>
      </c>
      <c r="B121" s="84" t="inlineStr">
        <is>
          <t>Agricultural Scientist</t>
        </is>
      </c>
      <c r="C121" s="85" t="inlineStr">
        <is>
          <t>Science</t>
        </is>
      </c>
      <c r="D121" s="83" t="n">
        <v>70</v>
      </c>
      <c r="E121" s="83" t="n">
        <v>82</v>
      </c>
      <c r="F121" s="83" t="n">
        <v>78</v>
      </c>
      <c r="G121" s="83" t="n">
        <v>68</v>
      </c>
      <c r="H121" s="83" t="n">
        <v>72</v>
      </c>
      <c r="I121" s="83">
        <f>ABS('Student Calculator'!C30-D121)</f>
        <v/>
      </c>
      <c r="J121" s="83">
        <f>ABS('Student Calculator'!D30-E121)</f>
        <v/>
      </c>
      <c r="K121" s="83">
        <f>ABS('Student Calculator'!E30-F121)</f>
        <v/>
      </c>
      <c r="L121" s="83">
        <f>ABS('Student Calculator'!F30-G121)</f>
        <v/>
      </c>
      <c r="M121" s="86">
        <f>ROUND(MAX(0, 100 - (I121*0.25 + J121*0.2 + K121*0.25 + L121*0.2)), 1)</f>
        <v/>
      </c>
      <c r="N121" s="87">
        <f>IF(M121&gt;=72,"🟢 BEST FIT",IF(M121&gt;=52,"🟡 CONSIDER","🔴 MISMATCH"))</f>
        <v/>
      </c>
      <c r="O121" s="88" t="inlineStr">
        <is>
          <t>B.Sc Agriculture → M.Sc (ICAR)</t>
        </is>
      </c>
      <c r="P121" s="91" t="inlineStr">
        <is>
          <t>Partly</t>
        </is>
      </c>
      <c r="Q121" s="88" t="inlineStr">
        <is>
          <t>ICAR AIEEA-PG — open to B.Sc Agriculture, Horticulture, Forestry and life sciences</t>
        </is>
      </c>
      <c r="R121" s="88" t="inlineStr">
        <is>
          <t>B.Sc Agriculture/Horticulture/Biology, B.Tech Agricultural Engineering</t>
        </is>
      </c>
    </row>
    <row r="122" ht="30" customHeight="1" s="63">
      <c r="A122" s="76" t="n">
        <v>119</v>
      </c>
      <c r="B122" s="77" t="inlineStr">
        <is>
          <t>Ayurveda Practitioner</t>
        </is>
      </c>
      <c r="C122" s="78" t="inlineStr">
        <is>
          <t>Medicine</t>
        </is>
      </c>
      <c r="D122" s="76" t="n">
        <v>72</v>
      </c>
      <c r="E122" s="76" t="n">
        <v>70</v>
      </c>
      <c r="F122" s="76" t="n">
        <v>78</v>
      </c>
      <c r="G122" s="76" t="n">
        <v>68</v>
      </c>
      <c r="H122" s="76" t="n">
        <v>70</v>
      </c>
      <c r="I122" s="76">
        <f>ABS('Student Calculator'!C30-D122)</f>
        <v/>
      </c>
      <c r="J122" s="76">
        <f>ABS('Student Calculator'!D30-E122)</f>
        <v/>
      </c>
      <c r="K122" s="76">
        <f>ABS('Student Calculator'!E30-F122)</f>
        <v/>
      </c>
      <c r="L122" s="76">
        <f>ABS('Student Calculator'!F30-G122)</f>
        <v/>
      </c>
      <c r="M122" s="79">
        <f>ROUND(MAX(0, 100 - (I122*0.25 + J122*0.2 + K122*0.25 + L122*0.2)), 1)</f>
        <v/>
      </c>
      <c r="N122" s="80">
        <f>IF(M122&gt;=72,"🟢 BEST FIT",IF(M122&gt;=52,"🟡 CONSIDER","🔴 MISMATCH"))</f>
        <v/>
      </c>
      <c r="O122" s="81" t="inlineStr">
        <is>
          <t>BAMS (via NEET-UG)</t>
        </is>
      </c>
      <c r="P122" s="82" t="inlineStr">
        <is>
          <t>No</t>
        </is>
      </c>
      <c r="Q122" s="81" t="inlineStr">
        <is>
          <t>None — BAMS is mandatory for NCISM registration</t>
        </is>
      </c>
      <c r="R122" s="81" t="inlineStr">
        <is>
          <t>Class 12 PCB only</t>
        </is>
      </c>
    </row>
    <row r="123" ht="30" customHeight="1" s="63">
      <c r="A123" s="83" t="n">
        <v>120</v>
      </c>
      <c r="B123" s="84" t="inlineStr">
        <is>
          <t>Homeopathy Practitioner</t>
        </is>
      </c>
      <c r="C123" s="85" t="inlineStr">
        <is>
          <t>Medicine</t>
        </is>
      </c>
      <c r="D123" s="83" t="n">
        <v>65</v>
      </c>
      <c r="E123" s="83" t="n">
        <v>68</v>
      </c>
      <c r="F123" s="83" t="n">
        <v>75</v>
      </c>
      <c r="G123" s="83" t="n">
        <v>65</v>
      </c>
      <c r="H123" s="83" t="n">
        <v>68</v>
      </c>
      <c r="I123" s="83">
        <f>ABS('Student Calculator'!C30-D123)</f>
        <v/>
      </c>
      <c r="J123" s="83">
        <f>ABS('Student Calculator'!D30-E123)</f>
        <v/>
      </c>
      <c r="K123" s="83">
        <f>ABS('Student Calculator'!E30-F123)</f>
        <v/>
      </c>
      <c r="L123" s="83">
        <f>ABS('Student Calculator'!F30-G123)</f>
        <v/>
      </c>
      <c r="M123" s="86">
        <f>ROUND(MAX(0, 100 - (I123*0.25 + J123*0.2 + K123*0.25 + L123*0.2)), 1)</f>
        <v/>
      </c>
      <c r="N123" s="87">
        <f>IF(M123&gt;=72,"🟢 BEST FIT",IF(M123&gt;=52,"🟡 CONSIDER","🔴 MISMATCH"))</f>
        <v/>
      </c>
      <c r="O123" s="88" t="inlineStr">
        <is>
          <t>BHMS (via NEET-UG)</t>
        </is>
      </c>
      <c r="P123" s="89" t="inlineStr">
        <is>
          <t>No</t>
        </is>
      </c>
      <c r="Q123" s="88" t="inlineStr">
        <is>
          <t>None — BHMS is mandatory for NCH registration</t>
        </is>
      </c>
      <c r="R123" s="88" t="inlineStr">
        <is>
          <t>Class 12 PCB only</t>
        </is>
      </c>
    </row>
    <row r="124" ht="30" customHeight="1" s="63">
      <c r="A124" s="76" t="n">
        <v>121</v>
      </c>
      <c r="B124" s="77" t="inlineStr">
        <is>
          <t>Yoga Instructor</t>
        </is>
      </c>
      <c r="C124" s="78" t="inlineStr">
        <is>
          <t>Wellness</t>
        </is>
      </c>
      <c r="D124" s="76" t="n">
        <v>72</v>
      </c>
      <c r="E124" s="76" t="n">
        <v>55</v>
      </c>
      <c r="F124" s="76" t="n">
        <v>82</v>
      </c>
      <c r="G124" s="76" t="n">
        <v>78</v>
      </c>
      <c r="H124" s="76" t="n">
        <v>60</v>
      </c>
      <c r="I124" s="76">
        <f>ABS('Student Calculator'!C30-D124)</f>
        <v/>
      </c>
      <c r="J124" s="76">
        <f>ABS('Student Calculator'!D30-E124)</f>
        <v/>
      </c>
      <c r="K124" s="76">
        <f>ABS('Student Calculator'!E30-F124)</f>
        <v/>
      </c>
      <c r="L124" s="76">
        <f>ABS('Student Calculator'!F30-G124)</f>
        <v/>
      </c>
      <c r="M124" s="79">
        <f>ROUND(MAX(0, 100 - (I124*0.25 + J124*0.2 + K124*0.25 + L124*0.2)), 1)</f>
        <v/>
      </c>
      <c r="N124" s="80">
        <f>IF(M124&gt;=72,"🟢 BEST FIT",IF(M124&gt;=52,"🟡 CONSIDER","🔴 MISMATCH"))</f>
        <v/>
      </c>
      <c r="O124" s="81" t="inlineStr">
        <is>
          <t>No degree required — YCB certification</t>
        </is>
      </c>
      <c r="P124" s="92" t="inlineStr">
        <is>
          <t>Yes</t>
        </is>
      </c>
      <c r="Q124" s="81" t="inlineStr">
        <is>
          <t>Yoga Certification Board (YCB) Level 1–3; BNYS is needed only for clinical yoga therapy</t>
        </is>
      </c>
      <c r="R124" s="81" t="inlineStr">
        <is>
          <t>ANY degree, or none</t>
        </is>
      </c>
    </row>
    <row r="125" ht="30" customHeight="1" s="63">
      <c r="A125" s="83" t="n">
        <v>122</v>
      </c>
      <c r="B125" s="84" t="inlineStr">
        <is>
          <t>Meditation/Wellness Coach</t>
        </is>
      </c>
      <c r="C125" s="85" t="inlineStr">
        <is>
          <t>Wellness</t>
        </is>
      </c>
      <c r="D125" s="83" t="n">
        <v>50</v>
      </c>
      <c r="E125" s="83" t="n">
        <v>55</v>
      </c>
      <c r="F125" s="83" t="n">
        <v>88</v>
      </c>
      <c r="G125" s="83" t="n">
        <v>80</v>
      </c>
      <c r="H125" s="83" t="n">
        <v>60</v>
      </c>
      <c r="I125" s="83">
        <f>ABS('Student Calculator'!C30-D125)</f>
        <v/>
      </c>
      <c r="J125" s="83">
        <f>ABS('Student Calculator'!D30-E125)</f>
        <v/>
      </c>
      <c r="K125" s="83">
        <f>ABS('Student Calculator'!E30-F125)</f>
        <v/>
      </c>
      <c r="L125" s="83">
        <f>ABS('Student Calculator'!F30-G125)</f>
        <v/>
      </c>
      <c r="M125" s="86">
        <f>ROUND(MAX(0, 100 - (I125*0.25 + J125*0.2 + K125*0.25 + L125*0.2)), 1)</f>
        <v/>
      </c>
      <c r="N125" s="87">
        <f>IF(M125&gt;=72,"🟢 BEST FIT",IF(M125&gt;=52,"🟡 CONSIDER","🔴 MISMATCH"))</f>
        <v/>
      </c>
      <c r="O125" s="88" t="inlineStr">
        <is>
          <t>No degree required</t>
        </is>
      </c>
      <c r="P125" s="93" t="inlineStr">
        <is>
          <t>Yes</t>
        </is>
      </c>
      <c r="Q125" s="88" t="inlineStr">
        <is>
          <t>Mindfulness teacher training (MBSR) or wellness coaching certification</t>
        </is>
      </c>
      <c r="R125" s="88" t="inlineStr">
        <is>
          <t>ANY degree, or none</t>
        </is>
      </c>
    </row>
    <row r="126" ht="30" customHeight="1" s="63">
      <c r="A126" s="76" t="n">
        <v>123</v>
      </c>
      <c r="B126" s="77" t="inlineStr">
        <is>
          <t>Fashion Merchandiser</t>
        </is>
      </c>
      <c r="C126" s="78" t="inlineStr">
        <is>
          <t>Business</t>
        </is>
      </c>
      <c r="D126" s="76" t="n">
        <v>62</v>
      </c>
      <c r="E126" s="76" t="n">
        <v>60</v>
      </c>
      <c r="F126" s="76" t="n">
        <v>70</v>
      </c>
      <c r="G126" s="76" t="n">
        <v>82</v>
      </c>
      <c r="H126" s="76" t="n">
        <v>72</v>
      </c>
      <c r="I126" s="76">
        <f>ABS('Student Calculator'!C30-D126)</f>
        <v/>
      </c>
      <c r="J126" s="76">
        <f>ABS('Student Calculator'!D30-E126)</f>
        <v/>
      </c>
      <c r="K126" s="76">
        <f>ABS('Student Calculator'!E30-F126)</f>
        <v/>
      </c>
      <c r="L126" s="76">
        <f>ABS('Student Calculator'!F30-G126)</f>
        <v/>
      </c>
      <c r="M126" s="79">
        <f>ROUND(MAX(0, 100 - (I126*0.25 + J126*0.2 + K126*0.25 + L126*0.2)), 1)</f>
        <v/>
      </c>
      <c r="N126" s="80">
        <f>IF(M126&gt;=72,"🟢 BEST FIT",IF(M126&gt;=52,"🟡 CONSIDER","🔴 MISMATCH"))</f>
        <v/>
      </c>
      <c r="O126" s="81" t="inlineStr">
        <is>
          <t>NIFT B.F.Tech / BBA + retail experience</t>
        </is>
      </c>
      <c r="P126" s="92" t="inlineStr">
        <is>
          <t>Yes</t>
        </is>
      </c>
      <c r="Q126" s="81" t="inlineStr">
        <is>
          <t>NIFT PG, or progression through a retail buying role; any degree with a fashion internship works</t>
        </is>
      </c>
      <c r="R126" s="81" t="inlineStr">
        <is>
          <t>ANY degree, B.Com, BBA, NIFT</t>
        </is>
      </c>
    </row>
    <row r="127" ht="30" customHeight="1" s="63">
      <c r="A127" s="83" t="n">
        <v>124</v>
      </c>
      <c r="B127" s="84" t="inlineStr">
        <is>
          <t>Textile Designer</t>
        </is>
      </c>
      <c r="C127" s="85" t="inlineStr">
        <is>
          <t>Creative</t>
        </is>
      </c>
      <c r="D127" s="83" t="n">
        <v>68</v>
      </c>
      <c r="E127" s="83" t="n">
        <v>58</v>
      </c>
      <c r="F127" s="83" t="n">
        <v>78</v>
      </c>
      <c r="G127" s="83" t="n">
        <v>90</v>
      </c>
      <c r="H127" s="83" t="n">
        <v>65</v>
      </c>
      <c r="I127" s="83">
        <f>ABS('Student Calculator'!C30-D127)</f>
        <v/>
      </c>
      <c r="J127" s="83">
        <f>ABS('Student Calculator'!D30-E127)</f>
        <v/>
      </c>
      <c r="K127" s="83">
        <f>ABS('Student Calculator'!E30-F127)</f>
        <v/>
      </c>
      <c r="L127" s="83">
        <f>ABS('Student Calculator'!F30-G127)</f>
        <v/>
      </c>
      <c r="M127" s="86">
        <f>ROUND(MAX(0, 100 - (I127*0.25 + J127*0.2 + K127*0.25 + L127*0.2)), 1)</f>
        <v/>
      </c>
      <c r="N127" s="87">
        <f>IF(M127&gt;=72,"🟢 BEST FIT",IF(M127&gt;=52,"🟡 CONSIDER","🔴 MISMATCH"))</f>
        <v/>
      </c>
      <c r="O127" s="88" t="inlineStr">
        <is>
          <t>B.Des Textile (NIFT / NID)</t>
        </is>
      </c>
      <c r="P127" s="91" t="inlineStr">
        <is>
          <t>Partly</t>
        </is>
      </c>
      <c r="Q127" s="88" t="inlineStr">
        <is>
          <t>NIFT/NID PG is open to ANY graduate; craft-cluster apprenticeship is an alternative</t>
        </is>
      </c>
      <c r="R127" s="88" t="inlineStr">
        <is>
          <t>ANY degree → NIFT PG; Fine Arts, Fashion</t>
        </is>
      </c>
    </row>
    <row r="128" ht="30" customHeight="1" s="63">
      <c r="A128" s="76" t="n">
        <v>125</v>
      </c>
      <c r="B128" s="77" t="inlineStr">
        <is>
          <t>Jewellery Designer</t>
        </is>
      </c>
      <c r="C128" s="78" t="inlineStr">
        <is>
          <t>Creative</t>
        </is>
      </c>
      <c r="D128" s="76" t="n">
        <v>72</v>
      </c>
      <c r="E128" s="76" t="n">
        <v>55</v>
      </c>
      <c r="F128" s="76" t="n">
        <v>78</v>
      </c>
      <c r="G128" s="76" t="n">
        <v>90</v>
      </c>
      <c r="H128" s="76" t="n">
        <v>62</v>
      </c>
      <c r="I128" s="76">
        <f>ABS('Student Calculator'!C30-D128)</f>
        <v/>
      </c>
      <c r="J128" s="76">
        <f>ABS('Student Calculator'!D30-E128)</f>
        <v/>
      </c>
      <c r="K128" s="76">
        <f>ABS('Student Calculator'!E30-F128)</f>
        <v/>
      </c>
      <c r="L128" s="76">
        <f>ABS('Student Calculator'!F30-G128)</f>
        <v/>
      </c>
      <c r="M128" s="79">
        <f>ROUND(MAX(0, 100 - (I128*0.25 + J128*0.2 + K128*0.25 + L128*0.2)), 1)</f>
        <v/>
      </c>
      <c r="N128" s="80">
        <f>IF(M128&gt;=72,"🟢 BEST FIT",IF(M128&gt;=52,"🟡 CONSIDER","🔴 MISMATCH"))</f>
        <v/>
      </c>
      <c r="O128" s="81" t="inlineStr">
        <is>
          <t>B.Des Jewellery / GIA diploma</t>
        </is>
      </c>
      <c r="P128" s="92" t="inlineStr">
        <is>
          <t>Yes</t>
        </is>
      </c>
      <c r="Q128" s="81" t="inlineStr">
        <is>
          <t>GIA or IIGJ diploma open to any graduate; karigar apprenticeship route</t>
        </is>
      </c>
      <c r="R128" s="81" t="inlineStr">
        <is>
          <t>ANY degree, Fine Arts, Design</t>
        </is>
      </c>
    </row>
    <row r="129" ht="30" customHeight="1" s="63">
      <c r="A129" s="83" t="n">
        <v>126</v>
      </c>
      <c r="B129" s="84" t="inlineStr">
        <is>
          <t>Animation &amp; VFX Artist</t>
        </is>
      </c>
      <c r="C129" s="85" t="inlineStr">
        <is>
          <t>Creative</t>
        </is>
      </c>
      <c r="D129" s="83" t="n">
        <v>62</v>
      </c>
      <c r="E129" s="83" t="n">
        <v>62</v>
      </c>
      <c r="F129" s="83" t="n">
        <v>78</v>
      </c>
      <c r="G129" s="83" t="n">
        <v>93</v>
      </c>
      <c r="H129" s="83" t="n">
        <v>65</v>
      </c>
      <c r="I129" s="83">
        <f>ABS('Student Calculator'!C30-D129)</f>
        <v/>
      </c>
      <c r="J129" s="83">
        <f>ABS('Student Calculator'!D30-E129)</f>
        <v/>
      </c>
      <c r="K129" s="83">
        <f>ABS('Student Calculator'!E30-F129)</f>
        <v/>
      </c>
      <c r="L129" s="83">
        <f>ABS('Student Calculator'!F30-G129)</f>
        <v/>
      </c>
      <c r="M129" s="86">
        <f>ROUND(MAX(0, 100 - (I129*0.25 + J129*0.2 + K129*0.25 + L129*0.2)), 1)</f>
        <v/>
      </c>
      <c r="N129" s="87">
        <f>IF(M129&gt;=72,"🟢 BEST FIT",IF(M129&gt;=52,"🟡 CONSIDER","🔴 MISMATCH"))</f>
        <v/>
      </c>
      <c r="O129" s="88" t="inlineStr">
        <is>
          <t>B.Des / BFA + studio training</t>
        </is>
      </c>
      <c r="P129" s="93" t="inlineStr">
        <is>
          <t>Yes</t>
        </is>
      </c>
      <c r="Q129" s="88" t="inlineStr">
        <is>
          <t>MAAC, Arena or Whistling Woods diploma; reel-first hiring</t>
        </is>
      </c>
      <c r="R129" s="88" t="inlineStr">
        <is>
          <t>ANY degree with a showreel</t>
        </is>
      </c>
    </row>
    <row r="130" ht="30" customHeight="1" s="63">
      <c r="A130" s="76" t="n">
        <v>127</v>
      </c>
      <c r="B130" s="77" t="inlineStr">
        <is>
          <t>Radio Jockey / Podcast Host</t>
        </is>
      </c>
      <c r="C130" s="78" t="inlineStr">
        <is>
          <t>Media</t>
        </is>
      </c>
      <c r="D130" s="76" t="n">
        <v>58</v>
      </c>
      <c r="E130" s="76" t="n">
        <v>45</v>
      </c>
      <c r="F130" s="76" t="n">
        <v>82</v>
      </c>
      <c r="G130" s="76" t="n">
        <v>85</v>
      </c>
      <c r="H130" s="76" t="n">
        <v>62</v>
      </c>
      <c r="I130" s="76">
        <f>ABS('Student Calculator'!C30-D130)</f>
        <v/>
      </c>
      <c r="J130" s="76">
        <f>ABS('Student Calculator'!D30-E130)</f>
        <v/>
      </c>
      <c r="K130" s="76">
        <f>ABS('Student Calculator'!E30-F130)</f>
        <v/>
      </c>
      <c r="L130" s="76">
        <f>ABS('Student Calculator'!F30-G130)</f>
        <v/>
      </c>
      <c r="M130" s="79">
        <f>ROUND(MAX(0, 100 - (I130*0.25 + J130*0.2 + K130*0.25 + L130*0.2)), 1)</f>
        <v/>
      </c>
      <c r="N130" s="80">
        <f>IF(M130&gt;=72,"🟢 BEST FIT",IF(M130&gt;=52,"🟡 CONSIDER","🔴 MISMATCH"))</f>
        <v/>
      </c>
      <c r="O130" s="81" t="inlineStr">
        <is>
          <t>No degree requirement</t>
        </is>
      </c>
      <c r="P130" s="92" t="inlineStr">
        <is>
          <t>Yes</t>
        </is>
      </c>
      <c r="Q130" s="81" t="inlineStr">
        <is>
          <t>RJ auditions; a mass-comm diploma is optional, a self-published podcast is a valid portfolio</t>
        </is>
      </c>
      <c r="R130" s="81" t="inlineStr">
        <is>
          <t>ANY degree, or none</t>
        </is>
      </c>
    </row>
    <row r="131" ht="30" customHeight="1" s="63">
      <c r="A131" s="83" t="n">
        <v>128</v>
      </c>
      <c r="B131" s="84" t="inlineStr">
        <is>
          <t>HR Business Partner</t>
        </is>
      </c>
      <c r="C131" s="85" t="inlineStr">
        <is>
          <t>Human Resources</t>
        </is>
      </c>
      <c r="D131" s="83" t="n">
        <v>68</v>
      </c>
      <c r="E131" s="83" t="n">
        <v>72</v>
      </c>
      <c r="F131" s="83" t="n">
        <v>72</v>
      </c>
      <c r="G131" s="83" t="n">
        <v>70</v>
      </c>
      <c r="H131" s="83" t="n">
        <v>72</v>
      </c>
      <c r="I131" s="83">
        <f>ABS('Student Calculator'!C30-D131)</f>
        <v/>
      </c>
      <c r="J131" s="83">
        <f>ABS('Student Calculator'!D30-E131)</f>
        <v/>
      </c>
      <c r="K131" s="83">
        <f>ABS('Student Calculator'!E30-F131)</f>
        <v/>
      </c>
      <c r="L131" s="83">
        <f>ABS('Student Calculator'!F30-G131)</f>
        <v/>
      </c>
      <c r="M131" s="86">
        <f>ROUND(MAX(0, 100 - (I131*0.25 + J131*0.2 + K131*0.25 + L131*0.2)), 1)</f>
        <v/>
      </c>
      <c r="N131" s="87">
        <f>IF(M131&gt;=72,"🟢 BEST FIT",IF(M131&gt;=52,"🟡 CONSIDER","🔴 MISMATCH"))</f>
        <v/>
      </c>
      <c r="O131" s="88" t="inlineStr">
        <is>
          <t>Any degree + MBA-HR / MSW</t>
        </is>
      </c>
      <c r="P131" s="93" t="inlineStr">
        <is>
          <t>Yes</t>
        </is>
      </c>
      <c r="Q131" s="88" t="inlineStr">
        <is>
          <t>MBA-HR via CAT/XAT/TISSNET, SHRM-CP certification, or an internal move up from HR operations</t>
        </is>
      </c>
      <c r="R131" s="88" t="inlineStr">
        <is>
          <t>ANY degree — Psychology, Commerce, Engineering and Arts are all common</t>
        </is>
      </c>
    </row>
    <row r="132" ht="30" customHeight="1" s="63">
      <c r="A132" s="76" t="n">
        <v>129</v>
      </c>
      <c r="B132" s="77" t="inlineStr">
        <is>
          <t>Talent Acquisition Specialist</t>
        </is>
      </c>
      <c r="C132" s="78" t="inlineStr">
        <is>
          <t>Human Resources</t>
        </is>
      </c>
      <c r="D132" s="76" t="n">
        <v>62</v>
      </c>
      <c r="E132" s="76" t="n">
        <v>66</v>
      </c>
      <c r="F132" s="76" t="n">
        <v>68</v>
      </c>
      <c r="G132" s="76" t="n">
        <v>66</v>
      </c>
      <c r="H132" s="76" t="n">
        <v>66</v>
      </c>
      <c r="I132" s="76">
        <f>ABS('Student Calculator'!C30-D132)</f>
        <v/>
      </c>
      <c r="J132" s="76">
        <f>ABS('Student Calculator'!D30-E132)</f>
        <v/>
      </c>
      <c r="K132" s="76">
        <f>ABS('Student Calculator'!E30-F132)</f>
        <v/>
      </c>
      <c r="L132" s="76">
        <f>ABS('Student Calculator'!F30-G132)</f>
        <v/>
      </c>
      <c r="M132" s="79">
        <f>ROUND(MAX(0, 100 - (I132*0.25 + J132*0.2 + K132*0.25 + L132*0.2)), 1)</f>
        <v/>
      </c>
      <c r="N132" s="80">
        <f>IF(M132&gt;=72,"🟢 BEST FIT",IF(M132&gt;=52,"🟡 CONSIDER","🔴 MISMATCH"))</f>
        <v/>
      </c>
      <c r="O132" s="81" t="inlineStr">
        <is>
          <t>Any bachelor's degree</t>
        </is>
      </c>
      <c r="P132" s="92" t="inlineStr">
        <is>
          <t>Yes</t>
        </is>
      </c>
      <c r="Q132" s="81" t="inlineStr">
        <is>
          <t>Direct entry as an agency recruiter — there is no certification gate; LinkedIn Recruiter certification helps</t>
        </is>
      </c>
      <c r="R132" s="81" t="inlineStr">
        <is>
          <t>ANY degree</t>
        </is>
      </c>
    </row>
    <row r="133" ht="30" customHeight="1" s="63">
      <c r="A133" s="83" t="n">
        <v>130</v>
      </c>
      <c r="B133" s="84" t="inlineStr">
        <is>
          <t>Technical Recruiter</t>
        </is>
      </c>
      <c r="C133" s="85" t="inlineStr">
        <is>
          <t>Human Resources</t>
        </is>
      </c>
      <c r="D133" s="83" t="n">
        <v>62</v>
      </c>
      <c r="E133" s="83" t="n">
        <v>66</v>
      </c>
      <c r="F133" s="83" t="n">
        <v>66</v>
      </c>
      <c r="G133" s="83" t="n">
        <v>70</v>
      </c>
      <c r="H133" s="83" t="n">
        <v>66</v>
      </c>
      <c r="I133" s="83">
        <f>ABS('Student Calculator'!C30-D133)</f>
        <v/>
      </c>
      <c r="J133" s="83">
        <f>ABS('Student Calculator'!D30-E133)</f>
        <v/>
      </c>
      <c r="K133" s="83">
        <f>ABS('Student Calculator'!E30-F133)</f>
        <v/>
      </c>
      <c r="L133" s="83">
        <f>ABS('Student Calculator'!F30-G133)</f>
        <v/>
      </c>
      <c r="M133" s="86">
        <f>ROUND(MAX(0, 100 - (I133*0.25 + J133*0.2 + K133*0.25 + L133*0.2)), 1)</f>
        <v/>
      </c>
      <c r="N133" s="87">
        <f>IF(M133&gt;=72,"🟢 BEST FIT",IF(M133&gt;=52,"🟡 CONSIDER","🔴 MISMATCH"))</f>
        <v/>
      </c>
      <c r="O133" s="88" t="inlineStr">
        <is>
          <t>Any degree + technical literacy</t>
        </is>
      </c>
      <c r="P133" s="93" t="inlineStr">
        <is>
          <t>Yes</t>
        </is>
      </c>
      <c r="Q133" s="88" t="inlineStr">
        <is>
          <t>Recruitment agency training; understanding tech stacks matters far more than holding a CS degree</t>
        </is>
      </c>
      <c r="R133" s="88" t="inlineStr">
        <is>
          <t>ANY degree; BCA/BE backgrounds have an edge</t>
        </is>
      </c>
    </row>
    <row r="134" ht="30" customHeight="1" s="63">
      <c r="A134" s="76" t="n">
        <v>131</v>
      </c>
      <c r="B134" s="77" t="inlineStr">
        <is>
          <t>Learning &amp; Development Manager</t>
        </is>
      </c>
      <c r="C134" s="78" t="inlineStr">
        <is>
          <t>Human Resources</t>
        </is>
      </c>
      <c r="D134" s="76" t="n">
        <v>66</v>
      </c>
      <c r="E134" s="76" t="n">
        <v>70</v>
      </c>
      <c r="F134" s="76" t="n">
        <v>76</v>
      </c>
      <c r="G134" s="76" t="n">
        <v>74</v>
      </c>
      <c r="H134" s="76" t="n">
        <v>70</v>
      </c>
      <c r="I134" s="76">
        <f>ABS('Student Calculator'!C30-D134)</f>
        <v/>
      </c>
      <c r="J134" s="76">
        <f>ABS('Student Calculator'!D30-E134)</f>
        <v/>
      </c>
      <c r="K134" s="76">
        <f>ABS('Student Calculator'!E30-F134)</f>
        <v/>
      </c>
      <c r="L134" s="76">
        <f>ABS('Student Calculator'!F30-G134)</f>
        <v/>
      </c>
      <c r="M134" s="79">
        <f>ROUND(MAX(0, 100 - (I134*0.25 + J134*0.2 + K134*0.25 + L134*0.2)), 1)</f>
        <v/>
      </c>
      <c r="N134" s="80">
        <f>IF(M134&gt;=72,"🟢 BEST FIT",IF(M134&gt;=52,"🟡 CONSIDER","🔴 MISMATCH"))</f>
        <v/>
      </c>
      <c r="O134" s="81" t="inlineStr">
        <is>
          <t>Any degree + MBA-HR or ID certification</t>
        </is>
      </c>
      <c r="P134" s="92" t="inlineStr">
        <is>
          <t>Yes</t>
        </is>
      </c>
      <c r="Q134" s="81" t="inlineStr">
        <is>
          <t>Instructional design certification, ATD credentials, or an internal move from a training role</t>
        </is>
      </c>
      <c r="R134" s="81" t="inlineStr">
        <is>
          <t>ANY degree — Education, Psychology and Commerce are common</t>
        </is>
      </c>
    </row>
    <row r="135" ht="30" customHeight="1" s="63">
      <c r="A135" s="83" t="n">
        <v>132</v>
      </c>
      <c r="B135" s="84" t="inlineStr">
        <is>
          <t>Compensation &amp; Benefits Analyst</t>
        </is>
      </c>
      <c r="C135" s="85" t="inlineStr">
        <is>
          <t>Human Resources</t>
        </is>
      </c>
      <c r="D135" s="83" t="n">
        <v>58</v>
      </c>
      <c r="E135" s="83" t="n">
        <v>74</v>
      </c>
      <c r="F135" s="83" t="n">
        <v>64</v>
      </c>
      <c r="G135" s="83" t="n">
        <v>74</v>
      </c>
      <c r="H135" s="83" t="n">
        <v>70</v>
      </c>
      <c r="I135" s="83">
        <f>ABS('Student Calculator'!C30-D135)</f>
        <v/>
      </c>
      <c r="J135" s="83">
        <f>ABS('Student Calculator'!D30-E135)</f>
        <v/>
      </c>
      <c r="K135" s="83">
        <f>ABS('Student Calculator'!E30-F135)</f>
        <v/>
      </c>
      <c r="L135" s="83">
        <f>ABS('Student Calculator'!F30-G135)</f>
        <v/>
      </c>
      <c r="M135" s="86">
        <f>ROUND(MAX(0, 100 - (I135*0.25 + J135*0.2 + K135*0.25 + L135*0.2)), 1)</f>
        <v/>
      </c>
      <c r="N135" s="87">
        <f>IF(M135&gt;=72,"🟢 BEST FIT",IF(M135&gt;=52,"🟡 CONSIDER","🔴 MISMATCH"))</f>
        <v/>
      </c>
      <c r="O135" s="88" t="inlineStr">
        <is>
          <t>Any degree + MBA-HR / Finance</t>
        </is>
      </c>
      <c r="P135" s="93" t="inlineStr">
        <is>
          <t>Yes</t>
        </is>
      </c>
      <c r="Q135" s="88" t="inlineStr">
        <is>
          <t>GRP or CCP certification (WorldatWork); advanced Excel and market-survey skill is the real requirement</t>
        </is>
      </c>
      <c r="R135" s="88" t="inlineStr">
        <is>
          <t>B.Com, Statistics, Economics, ANY degree</t>
        </is>
      </c>
    </row>
    <row r="136" ht="30" customHeight="1" s="63">
      <c r="A136" s="76" t="n">
        <v>133</v>
      </c>
      <c r="B136" s="77" t="inlineStr">
        <is>
          <t>HR Operations / HRIS Analyst</t>
        </is>
      </c>
      <c r="C136" s="78" t="inlineStr">
        <is>
          <t>Human Resources</t>
        </is>
      </c>
      <c r="D136" s="76" t="n">
        <v>55</v>
      </c>
      <c r="E136" s="76" t="n">
        <v>76</v>
      </c>
      <c r="F136" s="76" t="n">
        <v>62</v>
      </c>
      <c r="G136" s="76" t="n">
        <v>72</v>
      </c>
      <c r="H136" s="76" t="n">
        <v>68</v>
      </c>
      <c r="I136" s="76">
        <f>ABS('Student Calculator'!C30-D136)</f>
        <v/>
      </c>
      <c r="J136" s="76">
        <f>ABS('Student Calculator'!D30-E136)</f>
        <v/>
      </c>
      <c r="K136" s="76">
        <f>ABS('Student Calculator'!E30-F136)</f>
        <v/>
      </c>
      <c r="L136" s="76">
        <f>ABS('Student Calculator'!F30-G136)</f>
        <v/>
      </c>
      <c r="M136" s="79">
        <f>ROUND(MAX(0, 100 - (I136*0.25 + J136*0.2 + K136*0.25 + L136*0.2)), 1)</f>
        <v/>
      </c>
      <c r="N136" s="80">
        <f>IF(M136&gt;=72,"🟢 BEST FIT",IF(M136&gt;=52,"🟡 CONSIDER","🔴 MISMATCH"))</f>
        <v/>
      </c>
      <c r="O136" s="81" t="inlineStr">
        <is>
          <t>Any degree + HRIS tooling</t>
        </is>
      </c>
      <c r="P136" s="92" t="inlineStr">
        <is>
          <t>Yes</t>
        </is>
      </c>
      <c r="Q136" s="81" t="inlineStr">
        <is>
          <t>Workday, SuccessFactors or Darwinbox certification; a natural pivot from HR administration</t>
        </is>
      </c>
      <c r="R136" s="81" t="inlineStr">
        <is>
          <t>ANY degree; BCA and B.Com are common</t>
        </is>
      </c>
    </row>
    <row r="137" ht="30" customHeight="1" s="63">
      <c r="A137" s="83" t="n">
        <v>134</v>
      </c>
      <c r="B137" s="84" t="inlineStr">
        <is>
          <t>Employee Relations Manager</t>
        </is>
      </c>
      <c r="C137" s="85" t="inlineStr">
        <is>
          <t>Human Resources</t>
        </is>
      </c>
      <c r="D137" s="83" t="n">
        <v>66</v>
      </c>
      <c r="E137" s="83" t="n">
        <v>72</v>
      </c>
      <c r="F137" s="83" t="n">
        <v>70</v>
      </c>
      <c r="G137" s="83" t="n">
        <v>68</v>
      </c>
      <c r="H137" s="83" t="n">
        <v>72</v>
      </c>
      <c r="I137" s="83">
        <f>ABS('Student Calculator'!C30-D137)</f>
        <v/>
      </c>
      <c r="J137" s="83">
        <f>ABS('Student Calculator'!D30-E137)</f>
        <v/>
      </c>
      <c r="K137" s="83">
        <f>ABS('Student Calculator'!E30-F137)</f>
        <v/>
      </c>
      <c r="L137" s="83">
        <f>ABS('Student Calculator'!F30-G137)</f>
        <v/>
      </c>
      <c r="M137" s="86">
        <f>ROUND(MAX(0, 100 - (I137*0.25 + J137*0.2 + K137*0.25 + L137*0.2)), 1)</f>
        <v/>
      </c>
      <c r="N137" s="87">
        <f>IF(M137&gt;=72,"🟢 BEST FIT",IF(M137&gt;=52,"🟡 CONSIDER","🔴 MISMATCH"))</f>
        <v/>
      </c>
      <c r="O137" s="88" t="inlineStr">
        <is>
          <t>Any degree + MBA-HR or LLB</t>
        </is>
      </c>
      <c r="P137" s="93" t="inlineStr">
        <is>
          <t>Yes</t>
        </is>
      </c>
      <c r="Q137" s="88" t="inlineStr">
        <is>
          <t>PG Diploma in Labour Law, XLRI/TISS industrial relations programmes; LLB holders also enter this space</t>
        </is>
      </c>
      <c r="R137" s="88" t="inlineStr">
        <is>
          <t>ANY degree; Law, Psychology and MSW backgrounds</t>
        </is>
      </c>
    </row>
    <row r="138" ht="30" customHeight="1" s="63">
      <c r="A138" s="76" t="n">
        <v>135</v>
      </c>
      <c r="B138" s="77" t="inlineStr">
        <is>
          <t>Organisational Development Consultant</t>
        </is>
      </c>
      <c r="C138" s="78" t="inlineStr">
        <is>
          <t>Human Resources</t>
        </is>
      </c>
      <c r="D138" s="76" t="n">
        <v>64</v>
      </c>
      <c r="E138" s="76" t="n">
        <v>72</v>
      </c>
      <c r="F138" s="76" t="n">
        <v>78</v>
      </c>
      <c r="G138" s="76" t="n">
        <v>76</v>
      </c>
      <c r="H138" s="76" t="n">
        <v>72</v>
      </c>
      <c r="I138" s="76">
        <f>ABS('Student Calculator'!C30-D138)</f>
        <v/>
      </c>
      <c r="J138" s="76">
        <f>ABS('Student Calculator'!D30-E138)</f>
        <v/>
      </c>
      <c r="K138" s="76">
        <f>ABS('Student Calculator'!E30-F138)</f>
        <v/>
      </c>
      <c r="L138" s="76">
        <f>ABS('Student Calculator'!F30-G138)</f>
        <v/>
      </c>
      <c r="M138" s="79">
        <f>ROUND(MAX(0, 100 - (I138*0.25 + J138*0.2 + K138*0.25 + L138*0.2)), 1)</f>
        <v/>
      </c>
      <c r="N138" s="80">
        <f>IF(M138&gt;=72,"🟢 BEST FIT",IF(M138&gt;=52,"🟡 CONSIDER","🔴 MISMATCH"))</f>
        <v/>
      </c>
      <c r="O138" s="81" t="inlineStr">
        <is>
          <t>Any degree + MA Organisational Behaviour</t>
        </is>
      </c>
      <c r="P138" s="92" t="inlineStr">
        <is>
          <t>Yes</t>
        </is>
      </c>
      <c r="Q138" s="81" t="inlineStr">
        <is>
          <t>MA Organisational Psychology, OD certification, or a consulting-firm route</t>
        </is>
      </c>
      <c r="R138" s="81" t="inlineStr">
        <is>
          <t>Psychology, MBA, ANY degree</t>
        </is>
      </c>
    </row>
    <row r="139" ht="30" customHeight="1" s="63">
      <c r="A139" s="83" t="n">
        <v>136</v>
      </c>
      <c r="B139" s="84" t="inlineStr">
        <is>
          <t>Diversity &amp; Inclusion Manager</t>
        </is>
      </c>
      <c r="C139" s="85" t="inlineStr">
        <is>
          <t>Human Resources</t>
        </is>
      </c>
      <c r="D139" s="83" t="n">
        <v>68</v>
      </c>
      <c r="E139" s="83" t="n">
        <v>70</v>
      </c>
      <c r="F139" s="83" t="n">
        <v>80</v>
      </c>
      <c r="G139" s="83" t="n">
        <v>70</v>
      </c>
      <c r="H139" s="83" t="n">
        <v>70</v>
      </c>
      <c r="I139" s="83">
        <f>ABS('Student Calculator'!C30-D139)</f>
        <v/>
      </c>
      <c r="J139" s="83">
        <f>ABS('Student Calculator'!D30-E139)</f>
        <v/>
      </c>
      <c r="K139" s="83">
        <f>ABS('Student Calculator'!E30-F139)</f>
        <v/>
      </c>
      <c r="L139" s="83">
        <f>ABS('Student Calculator'!F30-G139)</f>
        <v/>
      </c>
      <c r="M139" s="86">
        <f>ROUND(MAX(0, 100 - (I139*0.25 + J139*0.2 + K139*0.25 + L139*0.2)), 1)</f>
        <v/>
      </c>
      <c r="N139" s="87">
        <f>IF(M139&gt;=72,"🟢 BEST FIT",IF(M139&gt;=52,"🟡 CONSIDER","🔴 MISMATCH"))</f>
        <v/>
      </c>
      <c r="O139" s="88" t="inlineStr">
        <is>
          <t>Any degree + DEI certification</t>
        </is>
      </c>
      <c r="P139" s="93" t="inlineStr">
        <is>
          <t>Yes</t>
        </is>
      </c>
      <c r="Q139" s="88" t="inlineStr">
        <is>
          <t>DEI certification, or an internal move from HRBP or CSR; lived experience carries real weight</t>
        </is>
      </c>
      <c r="R139" s="88" t="inlineStr">
        <is>
          <t>ANY degree — Sociology, Psychology, Law and HR</t>
        </is>
      </c>
    </row>
    <row r="140" ht="30" customHeight="1" s="63">
      <c r="A140" s="76" t="n">
        <v>137</v>
      </c>
      <c r="B140" s="77" t="inlineStr">
        <is>
          <t>Industrial Relations / Labour Officer</t>
        </is>
      </c>
      <c r="C140" s="78" t="inlineStr">
        <is>
          <t>Human Resources</t>
        </is>
      </c>
      <c r="D140" s="76" t="n">
        <v>62</v>
      </c>
      <c r="E140" s="76" t="n">
        <v>72</v>
      </c>
      <c r="F140" s="76" t="n">
        <v>66</v>
      </c>
      <c r="G140" s="76" t="n">
        <v>66</v>
      </c>
      <c r="H140" s="76" t="n">
        <v>72</v>
      </c>
      <c r="I140" s="76">
        <f>ABS('Student Calculator'!C30-D140)</f>
        <v/>
      </c>
      <c r="J140" s="76">
        <f>ABS('Student Calculator'!D30-E140)</f>
        <v/>
      </c>
      <c r="K140" s="76">
        <f>ABS('Student Calculator'!E30-F140)</f>
        <v/>
      </c>
      <c r="L140" s="76">
        <f>ABS('Student Calculator'!F30-G140)</f>
        <v/>
      </c>
      <c r="M140" s="79">
        <f>ROUND(MAX(0, 100 - (I140*0.25 + J140*0.2 + K140*0.25 + L140*0.2)), 1)</f>
        <v/>
      </c>
      <c r="N140" s="80">
        <f>IF(M140&gt;=72,"🟢 BEST FIT",IF(M140&gt;=52,"🟡 CONSIDER","🔴 MISMATCH"))</f>
        <v/>
      </c>
      <c r="O140" s="81" t="inlineStr">
        <is>
          <t>Any degree + MBA-IR or LLB</t>
        </is>
      </c>
      <c r="P140" s="92" t="inlineStr">
        <is>
          <t>Yes</t>
        </is>
      </c>
      <c r="Q140" s="81" t="inlineStr">
        <is>
          <t>XLRI PGDM-HRM, PG Diploma in Labour Law, or a 3-yr LLB after any degree</t>
        </is>
      </c>
      <c r="R140" s="81" t="inlineStr">
        <is>
          <t>ANY degree; Law, Commerce, Sociology</t>
        </is>
      </c>
    </row>
    <row r="141" ht="30" customHeight="1" s="63">
      <c r="A141" s="83" t="n">
        <v>138</v>
      </c>
      <c r="B141" s="84" t="inlineStr">
        <is>
          <t>Executive Search Consultant</t>
        </is>
      </c>
      <c r="C141" s="85" t="inlineStr">
        <is>
          <t>Human Resources</t>
        </is>
      </c>
      <c r="D141" s="83" t="n">
        <v>64</v>
      </c>
      <c r="E141" s="83" t="n">
        <v>68</v>
      </c>
      <c r="F141" s="83" t="n">
        <v>66</v>
      </c>
      <c r="G141" s="83" t="n">
        <v>70</v>
      </c>
      <c r="H141" s="83" t="n">
        <v>70</v>
      </c>
      <c r="I141" s="83">
        <f>ABS('Student Calculator'!C30-D141)</f>
        <v/>
      </c>
      <c r="J141" s="83">
        <f>ABS('Student Calculator'!D30-E141)</f>
        <v/>
      </c>
      <c r="K141" s="83">
        <f>ABS('Student Calculator'!E30-F141)</f>
        <v/>
      </c>
      <c r="L141" s="83">
        <f>ABS('Student Calculator'!F30-G141)</f>
        <v/>
      </c>
      <c r="M141" s="86">
        <f>ROUND(MAX(0, 100 - (I141*0.25 + J141*0.2 + K141*0.25 + L141*0.2)), 1)</f>
        <v/>
      </c>
      <c r="N141" s="87">
        <f>IF(M141&gt;=72,"🟢 BEST FIT",IF(M141&gt;=52,"🟡 CONSIDER","🔴 MISMATCH"))</f>
        <v/>
      </c>
      <c r="O141" s="88" t="inlineStr">
        <is>
          <t>Any bachelor's degree</t>
        </is>
      </c>
      <c r="P141" s="93" t="inlineStr">
        <is>
          <t>Yes</t>
        </is>
      </c>
      <c r="Q141" s="88" t="inlineStr">
        <is>
          <t>Entry as a research analyst in a search firm — no certification gate exists</t>
        </is>
      </c>
      <c r="R141" s="88" t="inlineStr">
        <is>
          <t>ANY degree</t>
        </is>
      </c>
    </row>
    <row r="142" ht="30" customHeight="1" s="63">
      <c r="A142" s="76" t="n">
        <v>139</v>
      </c>
      <c r="B142" s="77" t="inlineStr">
        <is>
          <t>HR Analytics Specialist</t>
        </is>
      </c>
      <c r="C142" s="78" t="inlineStr">
        <is>
          <t>Human Resources</t>
        </is>
      </c>
      <c r="D142" s="76" t="n">
        <v>52</v>
      </c>
      <c r="E142" s="76" t="n">
        <v>76</v>
      </c>
      <c r="F142" s="76" t="n">
        <v>66</v>
      </c>
      <c r="G142" s="76" t="n">
        <v>80</v>
      </c>
      <c r="H142" s="76" t="n">
        <v>70</v>
      </c>
      <c r="I142" s="76">
        <f>ABS('Student Calculator'!C30-D142)</f>
        <v/>
      </c>
      <c r="J142" s="76">
        <f>ABS('Student Calculator'!D30-E142)</f>
        <v/>
      </c>
      <c r="K142" s="76">
        <f>ABS('Student Calculator'!E30-F142)</f>
        <v/>
      </c>
      <c r="L142" s="76">
        <f>ABS('Student Calculator'!F30-G142)</f>
        <v/>
      </c>
      <c r="M142" s="79">
        <f>ROUND(MAX(0, 100 - (I142*0.25 + J142*0.2 + K142*0.25 + L142*0.2)), 1)</f>
        <v/>
      </c>
      <c r="N142" s="80">
        <f>IF(M142&gt;=72,"🟢 BEST FIT",IF(M142&gt;=52,"🟡 CONSIDER","🔴 MISMATCH"))</f>
        <v/>
      </c>
      <c r="O142" s="81" t="inlineStr">
        <is>
          <t>Any degree + analytics skills</t>
        </is>
      </c>
      <c r="P142" s="92" t="inlineStr">
        <is>
          <t>Yes</t>
        </is>
      </c>
      <c r="Q142" s="81" t="inlineStr">
        <is>
          <t>SQL/Python plus a people-analytics certification; pivot from HR operations or BI</t>
        </is>
      </c>
      <c r="R142" s="81" t="inlineStr">
        <is>
          <t>Statistics, Economics, BCA, ANY degree</t>
        </is>
      </c>
    </row>
    <row r="143" ht="30" customHeight="1" s="63">
      <c r="A143" s="83" t="n">
        <v>140</v>
      </c>
      <c r="B143" s="84" t="inlineStr">
        <is>
          <t>Corporate Trainer</t>
        </is>
      </c>
      <c r="C143" s="85" t="inlineStr">
        <is>
          <t>Human Resources</t>
        </is>
      </c>
      <c r="D143" s="83" t="n">
        <v>66</v>
      </c>
      <c r="E143" s="83" t="n">
        <v>68</v>
      </c>
      <c r="F143" s="83" t="n">
        <v>78</v>
      </c>
      <c r="G143" s="83" t="n">
        <v>74</v>
      </c>
      <c r="H143" s="83" t="n">
        <v>68</v>
      </c>
      <c r="I143" s="83">
        <f>ABS('Student Calculator'!C30-D143)</f>
        <v/>
      </c>
      <c r="J143" s="83">
        <f>ABS('Student Calculator'!D30-E143)</f>
        <v/>
      </c>
      <c r="K143" s="83">
        <f>ABS('Student Calculator'!E30-F143)</f>
        <v/>
      </c>
      <c r="L143" s="83">
        <f>ABS('Student Calculator'!F30-G143)</f>
        <v/>
      </c>
      <c r="M143" s="86">
        <f>ROUND(MAX(0, 100 - (I143*0.25 + J143*0.2 + K143*0.25 + L143*0.2)), 1)</f>
        <v/>
      </c>
      <c r="N143" s="87">
        <f>IF(M143&gt;=72,"🟢 BEST FIT",IF(M143&gt;=52,"🟡 CONSIDER","🔴 MISMATCH"))</f>
        <v/>
      </c>
      <c r="O143" s="88" t="inlineStr">
        <is>
          <t>Any degree + domain expertise</t>
        </is>
      </c>
      <c r="P143" s="93" t="inlineStr">
        <is>
          <t>Yes</t>
        </is>
      </c>
      <c r="Q143" s="88" t="inlineStr">
        <is>
          <t>Train-the-trainer certification; credibility comes from your prior domain career, not a degree</t>
        </is>
      </c>
      <c r="R143" s="88" t="inlineStr">
        <is>
          <t>ANY degree with genuine subject expertise</t>
        </is>
      </c>
    </row>
    <row r="144" ht="30" customHeight="1" s="63">
      <c r="A144" s="76" t="n">
        <v>141</v>
      </c>
      <c r="B144" s="77" t="inlineStr">
        <is>
          <t>Payroll Specialist</t>
        </is>
      </c>
      <c r="C144" s="78" t="inlineStr">
        <is>
          <t>Human Resources</t>
        </is>
      </c>
      <c r="D144" s="76" t="n">
        <v>50</v>
      </c>
      <c r="E144" s="76" t="n">
        <v>78</v>
      </c>
      <c r="F144" s="76" t="n">
        <v>58</v>
      </c>
      <c r="G144" s="76" t="n">
        <v>70</v>
      </c>
      <c r="H144" s="76" t="n">
        <v>68</v>
      </c>
      <c r="I144" s="76">
        <f>ABS('Student Calculator'!C30-D144)</f>
        <v/>
      </c>
      <c r="J144" s="76">
        <f>ABS('Student Calculator'!D30-E144)</f>
        <v/>
      </c>
      <c r="K144" s="76">
        <f>ABS('Student Calculator'!E30-F144)</f>
        <v/>
      </c>
      <c r="L144" s="76">
        <f>ABS('Student Calculator'!F30-G144)</f>
        <v/>
      </c>
      <c r="M144" s="79">
        <f>ROUND(MAX(0, 100 - (I144*0.25 + J144*0.2 + K144*0.25 + L144*0.2)), 1)</f>
        <v/>
      </c>
      <c r="N144" s="80">
        <f>IF(M144&gt;=72,"🟢 BEST FIT",IF(M144&gt;=52,"🟡 CONSIDER","🔴 MISMATCH"))</f>
        <v/>
      </c>
      <c r="O144" s="81" t="inlineStr">
        <is>
          <t>B.Com or any degree</t>
        </is>
      </c>
      <c r="P144" s="92" t="inlineStr">
        <is>
          <t>Yes</t>
        </is>
      </c>
      <c r="Q144" s="81" t="inlineStr">
        <is>
          <t>Payroll software certification; a common pivot from accounts or HR administration</t>
        </is>
      </c>
      <c r="R144" s="81" t="inlineStr">
        <is>
          <t>B.Com, BBA, ANY degree</t>
        </is>
      </c>
    </row>
    <row r="145" ht="30" customHeight="1" s="63">
      <c r="A145" s="83" t="n">
        <v>142</v>
      </c>
      <c r="B145" s="84" t="inlineStr">
        <is>
          <t>Customer Success Manager</t>
        </is>
      </c>
      <c r="C145" s="85" t="inlineStr">
        <is>
          <t>Business</t>
        </is>
      </c>
      <c r="D145" s="83" t="n">
        <v>66</v>
      </c>
      <c r="E145" s="83" t="n">
        <v>70</v>
      </c>
      <c r="F145" s="83" t="n">
        <v>70</v>
      </c>
      <c r="G145" s="83" t="n">
        <v>68</v>
      </c>
      <c r="H145" s="83" t="n">
        <v>68</v>
      </c>
      <c r="I145" s="83">
        <f>ABS('Student Calculator'!C30-D145)</f>
        <v/>
      </c>
      <c r="J145" s="83">
        <f>ABS('Student Calculator'!D30-E145)</f>
        <v/>
      </c>
      <c r="K145" s="83">
        <f>ABS('Student Calculator'!E30-F145)</f>
        <v/>
      </c>
      <c r="L145" s="83">
        <f>ABS('Student Calculator'!F30-G145)</f>
        <v/>
      </c>
      <c r="M145" s="86">
        <f>ROUND(MAX(0, 100 - (I145*0.25 + J145*0.2 + K145*0.25 + L145*0.2)), 1)</f>
        <v/>
      </c>
      <c r="N145" s="87">
        <f>IF(M145&gt;=72,"🟢 BEST FIT",IF(M145&gt;=52,"🟡 CONSIDER","🔴 MISMATCH"))</f>
        <v/>
      </c>
      <c r="O145" s="88" t="inlineStr">
        <is>
          <t>Any bachelor's degree</t>
        </is>
      </c>
      <c r="P145" s="93" t="inlineStr">
        <is>
          <t>Yes</t>
        </is>
      </c>
      <c r="Q145" s="88" t="inlineStr">
        <is>
          <t>Entry via support or account management — SaaS product knowledge is the real gate</t>
        </is>
      </c>
      <c r="R145" s="88" t="inlineStr">
        <is>
          <t>ANY degree</t>
        </is>
      </c>
    </row>
    <row r="146" ht="30" customHeight="1" s="63">
      <c r="A146" s="76" t="n">
        <v>143</v>
      </c>
      <c r="B146" s="77" t="inlineStr">
        <is>
          <t>Account Manager (B2B)</t>
        </is>
      </c>
      <c r="C146" s="78" t="inlineStr">
        <is>
          <t>Business</t>
        </is>
      </c>
      <c r="D146" s="76" t="n">
        <v>64</v>
      </c>
      <c r="E146" s="76" t="n">
        <v>68</v>
      </c>
      <c r="F146" s="76" t="n">
        <v>66</v>
      </c>
      <c r="G146" s="76" t="n">
        <v>66</v>
      </c>
      <c r="H146" s="76" t="n">
        <v>68</v>
      </c>
      <c r="I146" s="76">
        <f>ABS('Student Calculator'!C30-D146)</f>
        <v/>
      </c>
      <c r="J146" s="76">
        <f>ABS('Student Calculator'!D30-E146)</f>
        <v/>
      </c>
      <c r="K146" s="76">
        <f>ABS('Student Calculator'!E30-F146)</f>
        <v/>
      </c>
      <c r="L146" s="76">
        <f>ABS('Student Calculator'!F30-G146)</f>
        <v/>
      </c>
      <c r="M146" s="79">
        <f>ROUND(MAX(0, 100 - (I146*0.25 + J146*0.2 + K146*0.25 + L146*0.2)), 1)</f>
        <v/>
      </c>
      <c r="N146" s="80">
        <f>IF(M146&gt;=72,"🟢 BEST FIT",IF(M146&gt;=52,"🟡 CONSIDER","🔴 MISMATCH"))</f>
        <v/>
      </c>
      <c r="O146" s="81" t="inlineStr">
        <is>
          <t>Any bachelor's degree</t>
        </is>
      </c>
      <c r="P146" s="92" t="inlineStr">
        <is>
          <t>Yes</t>
        </is>
      </c>
      <c r="Q146" s="81" t="inlineStr">
        <is>
          <t>Sales executive → account manager progression; no certification gate</t>
        </is>
      </c>
      <c r="R146" s="81" t="inlineStr">
        <is>
          <t>ANY degree</t>
        </is>
      </c>
    </row>
    <row r="147" ht="30" customHeight="1" s="63">
      <c r="A147" s="83" t="n">
        <v>144</v>
      </c>
      <c r="B147" s="84" t="inlineStr">
        <is>
          <t>Business Development Manager</t>
        </is>
      </c>
      <c r="C147" s="85" t="inlineStr">
        <is>
          <t>Business</t>
        </is>
      </c>
      <c r="D147" s="83" t="n">
        <v>66</v>
      </c>
      <c r="E147" s="83" t="n">
        <v>66</v>
      </c>
      <c r="F147" s="83" t="n">
        <v>68</v>
      </c>
      <c r="G147" s="83" t="n">
        <v>66</v>
      </c>
      <c r="H147" s="83" t="n">
        <v>68</v>
      </c>
      <c r="I147" s="83">
        <f>ABS('Student Calculator'!C30-D147)</f>
        <v/>
      </c>
      <c r="J147" s="83">
        <f>ABS('Student Calculator'!D30-E147)</f>
        <v/>
      </c>
      <c r="K147" s="83">
        <f>ABS('Student Calculator'!E30-F147)</f>
        <v/>
      </c>
      <c r="L147" s="83">
        <f>ABS('Student Calculator'!F30-G147)</f>
        <v/>
      </c>
      <c r="M147" s="86">
        <f>ROUND(MAX(0, 100 - (I147*0.25 + J147*0.2 + K147*0.25 + L147*0.2)), 1)</f>
        <v/>
      </c>
      <c r="N147" s="87">
        <f>IF(M147&gt;=72,"🟢 BEST FIT",IF(M147&gt;=52,"🟡 CONSIDER","🔴 MISMATCH"))</f>
        <v/>
      </c>
      <c r="O147" s="88" t="inlineStr">
        <is>
          <t>Any bachelor's degree</t>
        </is>
      </c>
      <c r="P147" s="93" t="inlineStr">
        <is>
          <t>Yes</t>
        </is>
      </c>
      <c r="Q147" s="88" t="inlineStr">
        <is>
          <t>SDR or inside-sales entry then progression; MBA is optional, not required</t>
        </is>
      </c>
      <c r="R147" s="88" t="inlineStr">
        <is>
          <t>ANY degree</t>
        </is>
      </c>
    </row>
    <row r="148" ht="30" customHeight="1" s="63">
      <c r="A148" s="76" t="n">
        <v>145</v>
      </c>
      <c r="B148" s="77" t="inlineStr">
        <is>
          <t>Inside Sales / SDR</t>
        </is>
      </c>
      <c r="C148" s="78" t="inlineStr">
        <is>
          <t>Business</t>
        </is>
      </c>
      <c r="D148" s="76" t="n">
        <v>62</v>
      </c>
      <c r="E148" s="76" t="n">
        <v>62</v>
      </c>
      <c r="F148" s="76" t="n">
        <v>64</v>
      </c>
      <c r="G148" s="76" t="n">
        <v>62</v>
      </c>
      <c r="H148" s="76" t="n">
        <v>60</v>
      </c>
      <c r="I148" s="76">
        <f>ABS('Student Calculator'!C30-D148)</f>
        <v/>
      </c>
      <c r="J148" s="76">
        <f>ABS('Student Calculator'!D30-E148)</f>
        <v/>
      </c>
      <c r="K148" s="76">
        <f>ABS('Student Calculator'!E30-F148)</f>
        <v/>
      </c>
      <c r="L148" s="76">
        <f>ABS('Student Calculator'!F30-G148)</f>
        <v/>
      </c>
      <c r="M148" s="79">
        <f>ROUND(MAX(0, 100 - (I148*0.25 + J148*0.2 + K148*0.25 + L148*0.2)), 1)</f>
        <v/>
      </c>
      <c r="N148" s="80">
        <f>IF(M148&gt;=72,"🟢 BEST FIT",IF(M148&gt;=52,"🟡 CONSIDER","🔴 MISMATCH"))</f>
        <v/>
      </c>
      <c r="O148" s="81" t="inlineStr">
        <is>
          <t>Any bachelor's degree</t>
        </is>
      </c>
      <c r="P148" s="92" t="inlineStr">
        <is>
          <t>Yes</t>
        </is>
      </c>
      <c r="Q148" s="81" t="inlineStr">
        <is>
          <t>Direct-entry role — frequently the first job for non-technical graduates in tech companies</t>
        </is>
      </c>
      <c r="R148" s="81" t="inlineStr">
        <is>
          <t>ANY degree</t>
        </is>
      </c>
    </row>
    <row r="149" ht="30" customHeight="1" s="63">
      <c r="A149" s="83" t="n">
        <v>146</v>
      </c>
      <c r="B149" s="84" t="inlineStr">
        <is>
          <t>Category Manager (E-commerce)</t>
        </is>
      </c>
      <c r="C149" s="85" t="inlineStr">
        <is>
          <t>Business</t>
        </is>
      </c>
      <c r="D149" s="83" t="n">
        <v>58</v>
      </c>
      <c r="E149" s="83" t="n">
        <v>72</v>
      </c>
      <c r="F149" s="83" t="n">
        <v>68</v>
      </c>
      <c r="G149" s="83" t="n">
        <v>74</v>
      </c>
      <c r="H149" s="83" t="n">
        <v>70</v>
      </c>
      <c r="I149" s="83">
        <f>ABS('Student Calculator'!C30-D149)</f>
        <v/>
      </c>
      <c r="J149" s="83">
        <f>ABS('Student Calculator'!D30-E149)</f>
        <v/>
      </c>
      <c r="K149" s="83">
        <f>ABS('Student Calculator'!E30-F149)</f>
        <v/>
      </c>
      <c r="L149" s="83">
        <f>ABS('Student Calculator'!F30-G149)</f>
        <v/>
      </c>
      <c r="M149" s="86">
        <f>ROUND(MAX(0, 100 - (I149*0.25 + J149*0.2 + K149*0.25 + L149*0.2)), 1)</f>
        <v/>
      </c>
      <c r="N149" s="87">
        <f>IF(M149&gt;=72,"🟢 BEST FIT",IF(M149&gt;=52,"🟡 CONSIDER","🔴 MISMATCH"))</f>
        <v/>
      </c>
      <c r="O149" s="88" t="inlineStr">
        <is>
          <t>Any degree + MBA (typical)</t>
        </is>
      </c>
      <c r="P149" s="93" t="inlineStr">
        <is>
          <t>Yes</t>
        </is>
      </c>
      <c r="Q149" s="88" t="inlineStr">
        <is>
          <t>Pivot from operations, buying or analytics; category-ops is a common entry role</t>
        </is>
      </c>
      <c r="R149" s="88" t="inlineStr">
        <is>
          <t>B.Com, BBA, BE, ANY degree</t>
        </is>
      </c>
    </row>
    <row r="150" ht="30" customHeight="1" s="63">
      <c r="A150" s="76" t="n">
        <v>147</v>
      </c>
      <c r="B150" s="77" t="inlineStr">
        <is>
          <t>Program Manager</t>
        </is>
      </c>
      <c r="C150" s="78" t="inlineStr">
        <is>
          <t>Business</t>
        </is>
      </c>
      <c r="D150" s="76" t="n">
        <v>60</v>
      </c>
      <c r="E150" s="76" t="n">
        <v>76</v>
      </c>
      <c r="F150" s="76" t="n">
        <v>70</v>
      </c>
      <c r="G150" s="76" t="n">
        <v>74</v>
      </c>
      <c r="H150" s="76" t="n">
        <v>72</v>
      </c>
      <c r="I150" s="76">
        <f>ABS('Student Calculator'!C30-D150)</f>
        <v/>
      </c>
      <c r="J150" s="76">
        <f>ABS('Student Calculator'!D30-E150)</f>
        <v/>
      </c>
      <c r="K150" s="76">
        <f>ABS('Student Calculator'!E30-F150)</f>
        <v/>
      </c>
      <c r="L150" s="76">
        <f>ABS('Student Calculator'!F30-G150)</f>
        <v/>
      </c>
      <c r="M150" s="79">
        <f>ROUND(MAX(0, 100 - (I150*0.25 + J150*0.2 + K150*0.25 + L150*0.2)), 1)</f>
        <v/>
      </c>
      <c r="N150" s="80">
        <f>IF(M150&gt;=72,"🟢 BEST FIT",IF(M150&gt;=52,"🟡 CONSIDER","🔴 MISMATCH"))</f>
        <v/>
      </c>
      <c r="O150" s="81" t="inlineStr">
        <is>
          <t>Any degree + MBA or PMP</t>
        </is>
      </c>
      <c r="P150" s="92" t="inlineStr">
        <is>
          <t>Yes</t>
        </is>
      </c>
      <c r="Q150" s="81" t="inlineStr">
        <is>
          <t>PMP or PRINCE2 certification; internal promotion from project coordinator</t>
        </is>
      </c>
      <c r="R150" s="81" t="inlineStr">
        <is>
          <t>ANY degree</t>
        </is>
      </c>
    </row>
    <row r="151" ht="30" customHeight="1" s="63">
      <c r="A151" s="83" t="n">
        <v>148</v>
      </c>
      <c r="B151" s="84" t="inlineStr">
        <is>
          <t>Project Manager (PMP)</t>
        </is>
      </c>
      <c r="C151" s="85" t="inlineStr">
        <is>
          <t>Business</t>
        </is>
      </c>
      <c r="D151" s="83" t="n">
        <v>58</v>
      </c>
      <c r="E151" s="83" t="n">
        <v>76</v>
      </c>
      <c r="F151" s="83" t="n">
        <v>66</v>
      </c>
      <c r="G151" s="83" t="n">
        <v>72</v>
      </c>
      <c r="H151" s="83" t="n">
        <v>72</v>
      </c>
      <c r="I151" s="83">
        <f>ABS('Student Calculator'!C30-D151)</f>
        <v/>
      </c>
      <c r="J151" s="83">
        <f>ABS('Student Calculator'!D30-E151)</f>
        <v/>
      </c>
      <c r="K151" s="83">
        <f>ABS('Student Calculator'!E30-F151)</f>
        <v/>
      </c>
      <c r="L151" s="83">
        <f>ABS('Student Calculator'!F30-G151)</f>
        <v/>
      </c>
      <c r="M151" s="86">
        <f>ROUND(MAX(0, 100 - (I151*0.25 + J151*0.2 + K151*0.25 + L151*0.2)), 1)</f>
        <v/>
      </c>
      <c r="N151" s="87">
        <f>IF(M151&gt;=72,"🟢 BEST FIT",IF(M151&gt;=52,"🟡 CONSIDER","🔴 MISMATCH"))</f>
        <v/>
      </c>
      <c r="O151" s="88" t="inlineStr">
        <is>
          <t>Any degree + PMP</t>
        </is>
      </c>
      <c r="P151" s="93" t="inlineStr">
        <is>
          <t>Yes</t>
        </is>
      </c>
      <c r="Q151" s="88" t="inlineStr">
        <is>
          <t>PMP certification requires documented experience, not a specific degree</t>
        </is>
      </c>
      <c r="R151" s="88" t="inlineStr">
        <is>
          <t>ANY degree</t>
        </is>
      </c>
    </row>
    <row r="152" ht="30" customHeight="1" s="63">
      <c r="A152" s="76" t="n">
        <v>149</v>
      </c>
      <c r="B152" s="77" t="inlineStr">
        <is>
          <t>Chief of Staff</t>
        </is>
      </c>
      <c r="C152" s="78" t="inlineStr">
        <is>
          <t>Business</t>
        </is>
      </c>
      <c r="D152" s="76" t="n">
        <v>64</v>
      </c>
      <c r="E152" s="76" t="n">
        <v>74</v>
      </c>
      <c r="F152" s="76" t="n">
        <v>74</v>
      </c>
      <c r="G152" s="76" t="n">
        <v>76</v>
      </c>
      <c r="H152" s="76" t="n">
        <v>74</v>
      </c>
      <c r="I152" s="76">
        <f>ABS('Student Calculator'!C30-D152)</f>
        <v/>
      </c>
      <c r="J152" s="76">
        <f>ABS('Student Calculator'!D30-E152)</f>
        <v/>
      </c>
      <c r="K152" s="76">
        <f>ABS('Student Calculator'!E30-F152)</f>
        <v/>
      </c>
      <c r="L152" s="76">
        <f>ABS('Student Calculator'!F30-G152)</f>
        <v/>
      </c>
      <c r="M152" s="79">
        <f>ROUND(MAX(0, 100 - (I152*0.25 + J152*0.2 + K152*0.25 + L152*0.2)), 1)</f>
        <v/>
      </c>
      <c r="N152" s="80">
        <f>IF(M152&gt;=72,"🟢 BEST FIT",IF(M152&gt;=52,"🟡 CONSIDER","🔴 MISMATCH"))</f>
        <v/>
      </c>
      <c r="O152" s="81" t="inlineStr">
        <is>
          <t>Any degree + MBA or consulting background</t>
        </is>
      </c>
      <c r="P152" s="92" t="inlineStr">
        <is>
          <t>Yes</t>
        </is>
      </c>
      <c r="Q152" s="81" t="inlineStr">
        <is>
          <t>Consulting or founder's-office route; there is no formal qualification for this role</t>
        </is>
      </c>
      <c r="R152" s="81" t="inlineStr">
        <is>
          <t>ANY degree</t>
        </is>
      </c>
    </row>
    <row r="153" ht="30" customHeight="1" s="63">
      <c r="A153" s="83" t="n">
        <v>150</v>
      </c>
      <c r="B153" s="84" t="inlineStr">
        <is>
          <t>Strategy &amp; Operations Associate</t>
        </is>
      </c>
      <c r="C153" s="85" t="inlineStr">
        <is>
          <t>Business</t>
        </is>
      </c>
      <c r="D153" s="83" t="n">
        <v>58</v>
      </c>
      <c r="E153" s="83" t="n">
        <v>74</v>
      </c>
      <c r="F153" s="83" t="n">
        <v>72</v>
      </c>
      <c r="G153" s="83" t="n">
        <v>76</v>
      </c>
      <c r="H153" s="83" t="n">
        <v>72</v>
      </c>
      <c r="I153" s="83">
        <f>ABS('Student Calculator'!C30-D153)</f>
        <v/>
      </c>
      <c r="J153" s="83">
        <f>ABS('Student Calculator'!D30-E153)</f>
        <v/>
      </c>
      <c r="K153" s="83">
        <f>ABS('Student Calculator'!E30-F153)</f>
        <v/>
      </c>
      <c r="L153" s="83">
        <f>ABS('Student Calculator'!F30-G153)</f>
        <v/>
      </c>
      <c r="M153" s="86">
        <f>ROUND(MAX(0, 100 - (I153*0.25 + J153*0.2 + K153*0.25 + L153*0.2)), 1)</f>
        <v/>
      </c>
      <c r="N153" s="87">
        <f>IF(M153&gt;=72,"🟢 BEST FIT",IF(M153&gt;=52,"🟡 CONSIDER","🔴 MISMATCH"))</f>
        <v/>
      </c>
      <c r="O153" s="88" t="inlineStr">
        <is>
          <t>Any degree + MBA</t>
        </is>
      </c>
      <c r="P153" s="93" t="inlineStr">
        <is>
          <t>Yes</t>
        </is>
      </c>
      <c r="Q153" s="88" t="inlineStr">
        <is>
          <t>Consulting or startup-ops entry; CAT/GMAT → MBA is open from any degree</t>
        </is>
      </c>
      <c r="R153" s="88" t="inlineStr">
        <is>
          <t>ANY degree</t>
        </is>
      </c>
    </row>
    <row r="154" ht="30" customHeight="1" s="63">
      <c r="A154" s="76" t="n">
        <v>151</v>
      </c>
      <c r="B154" s="77" t="inlineStr">
        <is>
          <t>Procurement / Sourcing Specialist</t>
        </is>
      </c>
      <c r="C154" s="78" t="inlineStr">
        <is>
          <t>Business</t>
        </is>
      </c>
      <c r="D154" s="76" t="n">
        <v>55</v>
      </c>
      <c r="E154" s="76" t="n">
        <v>74</v>
      </c>
      <c r="F154" s="76" t="n">
        <v>62</v>
      </c>
      <c r="G154" s="76" t="n">
        <v>68</v>
      </c>
      <c r="H154" s="76" t="n">
        <v>68</v>
      </c>
      <c r="I154" s="76">
        <f>ABS('Student Calculator'!C30-D154)</f>
        <v/>
      </c>
      <c r="J154" s="76">
        <f>ABS('Student Calculator'!D30-E154)</f>
        <v/>
      </c>
      <c r="K154" s="76">
        <f>ABS('Student Calculator'!E30-F154)</f>
        <v/>
      </c>
      <c r="L154" s="76">
        <f>ABS('Student Calculator'!F30-G154)</f>
        <v/>
      </c>
      <c r="M154" s="79">
        <f>ROUND(MAX(0, 100 - (I154*0.25 + J154*0.2 + K154*0.25 + L154*0.2)), 1)</f>
        <v/>
      </c>
      <c r="N154" s="80">
        <f>IF(M154&gt;=72,"🟢 BEST FIT",IF(M154&gt;=52,"🟡 CONSIDER","🔴 MISMATCH"))</f>
        <v/>
      </c>
      <c r="O154" s="81" t="inlineStr">
        <is>
          <t>Any degree + supply chain certification</t>
        </is>
      </c>
      <c r="P154" s="92" t="inlineStr">
        <is>
          <t>Yes</t>
        </is>
      </c>
      <c r="Q154" s="81" t="inlineStr">
        <is>
          <t>CIPS or CPSM certification; a common pivot from operations or accounts</t>
        </is>
      </c>
      <c r="R154" s="81" t="inlineStr">
        <is>
          <t>B.Com, BBA, BE, ANY degree</t>
        </is>
      </c>
    </row>
    <row r="155" ht="30" customHeight="1" s="63">
      <c r="A155" s="83" t="n">
        <v>152</v>
      </c>
      <c r="B155" s="84" t="inlineStr">
        <is>
          <t>Logistics &amp; Warehouse Manager</t>
        </is>
      </c>
      <c r="C155" s="85" t="inlineStr">
        <is>
          <t>Business</t>
        </is>
      </c>
      <c r="D155" s="83" t="n">
        <v>55</v>
      </c>
      <c r="E155" s="83" t="n">
        <v>74</v>
      </c>
      <c r="F155" s="83" t="n">
        <v>60</v>
      </c>
      <c r="G155" s="83" t="n">
        <v>64</v>
      </c>
      <c r="H155" s="83" t="n">
        <v>66</v>
      </c>
      <c r="I155" s="83">
        <f>ABS('Student Calculator'!C30-D155)</f>
        <v/>
      </c>
      <c r="J155" s="83">
        <f>ABS('Student Calculator'!D30-E155)</f>
        <v/>
      </c>
      <c r="K155" s="83">
        <f>ABS('Student Calculator'!E30-F155)</f>
        <v/>
      </c>
      <c r="L155" s="83">
        <f>ABS('Student Calculator'!F30-G155)</f>
        <v/>
      </c>
      <c r="M155" s="86">
        <f>ROUND(MAX(0, 100 - (I155*0.25 + J155*0.2 + K155*0.25 + L155*0.2)), 1)</f>
        <v/>
      </c>
      <c r="N155" s="87">
        <f>IF(M155&gt;=72,"🟢 BEST FIT",IF(M155&gt;=52,"🟡 CONSIDER","🔴 MISMATCH"))</f>
        <v/>
      </c>
      <c r="O155" s="88" t="inlineStr">
        <is>
          <t>Any degree + logistics diploma</t>
        </is>
      </c>
      <c r="P155" s="93" t="inlineStr">
        <is>
          <t>Yes</t>
        </is>
      </c>
      <c r="Q155" s="88" t="inlineStr">
        <is>
          <t>CILT or IIMM diploma; floor-supervisor promotion route also works</t>
        </is>
      </c>
      <c r="R155" s="88" t="inlineStr">
        <is>
          <t>ANY degree</t>
        </is>
      </c>
    </row>
    <row r="156" ht="30" customHeight="1" s="63">
      <c r="A156" s="76" t="n">
        <v>153</v>
      </c>
      <c r="B156" s="77" t="inlineStr">
        <is>
          <t>Quality / Six Sigma Analyst</t>
        </is>
      </c>
      <c r="C156" s="78" t="inlineStr">
        <is>
          <t>Business</t>
        </is>
      </c>
      <c r="D156" s="76" t="n">
        <v>52</v>
      </c>
      <c r="E156" s="76" t="n">
        <v>78</v>
      </c>
      <c r="F156" s="76" t="n">
        <v>64</v>
      </c>
      <c r="G156" s="76" t="n">
        <v>74</v>
      </c>
      <c r="H156" s="76" t="n">
        <v>70</v>
      </c>
      <c r="I156" s="76">
        <f>ABS('Student Calculator'!C30-D156)</f>
        <v/>
      </c>
      <c r="J156" s="76">
        <f>ABS('Student Calculator'!D30-E156)</f>
        <v/>
      </c>
      <c r="K156" s="76">
        <f>ABS('Student Calculator'!E30-F156)</f>
        <v/>
      </c>
      <c r="L156" s="76">
        <f>ABS('Student Calculator'!F30-G156)</f>
        <v/>
      </c>
      <c r="M156" s="79">
        <f>ROUND(MAX(0, 100 - (I156*0.25 + J156*0.2 + K156*0.25 + L156*0.2)), 1)</f>
        <v/>
      </c>
      <c r="N156" s="80">
        <f>IF(M156&gt;=72,"🟢 BEST FIT",IF(M156&gt;=52,"🟡 CONSIDER","🔴 MISMATCH"))</f>
        <v/>
      </c>
      <c r="O156" s="81" t="inlineStr">
        <is>
          <t>Any degree + Six Sigma certification</t>
        </is>
      </c>
      <c r="P156" s="92" t="inlineStr">
        <is>
          <t>Yes</t>
        </is>
      </c>
      <c r="Q156" s="81" t="inlineStr">
        <is>
          <t>Green Belt → Black Belt certification; a common pivot from operations or manufacturing</t>
        </is>
      </c>
      <c r="R156" s="81" t="inlineStr">
        <is>
          <t>BE, B.Sc, B.Com, ANY degree</t>
        </is>
      </c>
    </row>
    <row r="157" ht="30" customHeight="1" s="63">
      <c r="A157" s="83" t="n">
        <v>154</v>
      </c>
      <c r="B157" s="84" t="inlineStr">
        <is>
          <t>Revenue Operations Analyst</t>
        </is>
      </c>
      <c r="C157" s="85" t="inlineStr">
        <is>
          <t>Business</t>
        </is>
      </c>
      <c r="D157" s="83" t="n">
        <v>52</v>
      </c>
      <c r="E157" s="83" t="n">
        <v>76</v>
      </c>
      <c r="F157" s="83" t="n">
        <v>64</v>
      </c>
      <c r="G157" s="83" t="n">
        <v>76</v>
      </c>
      <c r="H157" s="83" t="n">
        <v>70</v>
      </c>
      <c r="I157" s="83">
        <f>ABS('Student Calculator'!C30-D157)</f>
        <v/>
      </c>
      <c r="J157" s="83">
        <f>ABS('Student Calculator'!D30-E157)</f>
        <v/>
      </c>
      <c r="K157" s="83">
        <f>ABS('Student Calculator'!E30-F157)</f>
        <v/>
      </c>
      <c r="L157" s="83">
        <f>ABS('Student Calculator'!F30-G157)</f>
        <v/>
      </c>
      <c r="M157" s="86">
        <f>ROUND(MAX(0, 100 - (I157*0.25 + J157*0.2 + K157*0.25 + L157*0.2)), 1)</f>
        <v/>
      </c>
      <c r="N157" s="87">
        <f>IF(M157&gt;=72,"🟢 BEST FIT",IF(M157&gt;=52,"🟡 CONSIDER","🔴 MISMATCH"))</f>
        <v/>
      </c>
      <c r="O157" s="88" t="inlineStr">
        <is>
          <t>Any degree + CRM &amp; analytics skills</t>
        </is>
      </c>
      <c r="P157" s="93" t="inlineStr">
        <is>
          <t>Yes</t>
        </is>
      </c>
      <c r="Q157" s="88" t="inlineStr">
        <is>
          <t>Salesforce/HubSpot admin certification plus SQL; pivot from sales operations</t>
        </is>
      </c>
      <c r="R157" s="88" t="inlineStr">
        <is>
          <t>ANY degree</t>
        </is>
      </c>
    </row>
    <row r="158" ht="30" customHeight="1" s="63">
      <c r="A158" s="76" t="n">
        <v>155</v>
      </c>
      <c r="B158" s="77" t="inlineStr">
        <is>
          <t>Franchise / Territory Manager</t>
        </is>
      </c>
      <c r="C158" s="78" t="inlineStr">
        <is>
          <t>Business</t>
        </is>
      </c>
      <c r="D158" s="76" t="n">
        <v>62</v>
      </c>
      <c r="E158" s="76" t="n">
        <v>70</v>
      </c>
      <c r="F158" s="76" t="n">
        <v>64</v>
      </c>
      <c r="G158" s="76" t="n">
        <v>64</v>
      </c>
      <c r="H158" s="76" t="n">
        <v>66</v>
      </c>
      <c r="I158" s="76">
        <f>ABS('Student Calculator'!C30-D158)</f>
        <v/>
      </c>
      <c r="J158" s="76">
        <f>ABS('Student Calculator'!D30-E158)</f>
        <v/>
      </c>
      <c r="K158" s="76">
        <f>ABS('Student Calculator'!E30-F158)</f>
        <v/>
      </c>
      <c r="L158" s="76">
        <f>ABS('Student Calculator'!F30-G158)</f>
        <v/>
      </c>
      <c r="M158" s="79">
        <f>ROUND(MAX(0, 100 - (I158*0.25 + J158*0.2 + K158*0.25 + L158*0.2)), 1)</f>
        <v/>
      </c>
      <c r="N158" s="80">
        <f>IF(M158&gt;=72,"🟢 BEST FIT",IF(M158&gt;=52,"🟡 CONSIDER","🔴 MISMATCH"))</f>
        <v/>
      </c>
      <c r="O158" s="81" t="inlineStr">
        <is>
          <t>Any bachelor's degree</t>
        </is>
      </c>
      <c r="P158" s="92" t="inlineStr">
        <is>
          <t>Yes</t>
        </is>
      </c>
      <c r="Q158" s="81" t="inlineStr">
        <is>
          <t>Field sales progression; no certification gate</t>
        </is>
      </c>
      <c r="R158" s="81" t="inlineStr">
        <is>
          <t>ANY degree</t>
        </is>
      </c>
    </row>
    <row r="159" ht="30" customHeight="1" s="63">
      <c r="A159" s="83" t="n">
        <v>156</v>
      </c>
      <c r="B159" s="84" t="inlineStr">
        <is>
          <t>Real Estate Consultant</t>
        </is>
      </c>
      <c r="C159" s="85" t="inlineStr">
        <is>
          <t>Business</t>
        </is>
      </c>
      <c r="D159" s="83" t="n">
        <v>62</v>
      </c>
      <c r="E159" s="83" t="n">
        <v>64</v>
      </c>
      <c r="F159" s="83" t="n">
        <v>64</v>
      </c>
      <c r="G159" s="83" t="n">
        <v>62</v>
      </c>
      <c r="H159" s="83" t="n">
        <v>62</v>
      </c>
      <c r="I159" s="83">
        <f>ABS('Student Calculator'!C30-D159)</f>
        <v/>
      </c>
      <c r="J159" s="83">
        <f>ABS('Student Calculator'!D30-E159)</f>
        <v/>
      </c>
      <c r="K159" s="83">
        <f>ABS('Student Calculator'!E30-F159)</f>
        <v/>
      </c>
      <c r="L159" s="83">
        <f>ABS('Student Calculator'!F30-G159)</f>
        <v/>
      </c>
      <c r="M159" s="86">
        <f>ROUND(MAX(0, 100 - (I159*0.25 + J159*0.2 + K159*0.25 + L159*0.2)), 1)</f>
        <v/>
      </c>
      <c r="N159" s="87">
        <f>IF(M159&gt;=72,"🟢 BEST FIT",IF(M159&gt;=52,"🟡 CONSIDER","🔴 MISMATCH"))</f>
        <v/>
      </c>
      <c r="O159" s="88" t="inlineStr">
        <is>
          <t>No degree required + RERA registration</t>
        </is>
      </c>
      <c r="P159" s="93" t="inlineStr">
        <is>
          <t>Yes</t>
        </is>
      </c>
      <c r="Q159" s="88" t="inlineStr">
        <is>
          <t>RERA agent registration is the only requirement — no degree of any kind is needed</t>
        </is>
      </c>
      <c r="R159" s="88" t="inlineStr">
        <is>
          <t>ANY degree, or none</t>
        </is>
      </c>
    </row>
    <row r="160" ht="30" customHeight="1" s="63">
      <c r="A160" s="76" t="n">
        <v>157</v>
      </c>
      <c r="B160" s="77" t="inlineStr">
        <is>
          <t>Export-Import / Trade Consultant</t>
        </is>
      </c>
      <c r="C160" s="78" t="inlineStr">
        <is>
          <t>Business</t>
        </is>
      </c>
      <c r="D160" s="76" t="n">
        <v>58</v>
      </c>
      <c r="E160" s="76" t="n">
        <v>70</v>
      </c>
      <c r="F160" s="76" t="n">
        <v>64</v>
      </c>
      <c r="G160" s="76" t="n">
        <v>66</v>
      </c>
      <c r="H160" s="76" t="n">
        <v>66</v>
      </c>
      <c r="I160" s="76">
        <f>ABS('Student Calculator'!C30-D160)</f>
        <v/>
      </c>
      <c r="J160" s="76">
        <f>ABS('Student Calculator'!D30-E160)</f>
        <v/>
      </c>
      <c r="K160" s="76">
        <f>ABS('Student Calculator'!E30-F160)</f>
        <v/>
      </c>
      <c r="L160" s="76">
        <f>ABS('Student Calculator'!F30-G160)</f>
        <v/>
      </c>
      <c r="M160" s="79">
        <f>ROUND(MAX(0, 100 - (I160*0.25 + J160*0.2 + K160*0.25 + L160*0.2)), 1)</f>
        <v/>
      </c>
      <c r="N160" s="80">
        <f>IF(M160&gt;=72,"🟢 BEST FIT",IF(M160&gt;=52,"🟡 CONSIDER","🔴 MISMATCH"))</f>
        <v/>
      </c>
      <c r="O160" s="81" t="inlineStr">
        <is>
          <t>Any degree + IEC / trade course</t>
        </is>
      </c>
      <c r="P160" s="92" t="inlineStr">
        <is>
          <t>Yes</t>
        </is>
      </c>
      <c r="Q160" s="81" t="inlineStr">
        <is>
          <t>IIFT or FIEO certificate courses; an IEC code lets you trade independently</t>
        </is>
      </c>
      <c r="R160" s="81" t="inlineStr">
        <is>
          <t>B.Com, ANY degree</t>
        </is>
      </c>
    </row>
    <row r="161" ht="30" customHeight="1" s="63">
      <c r="A161" s="83" t="n">
        <v>158</v>
      </c>
      <c r="B161" s="84" t="inlineStr">
        <is>
          <t>Freelance Consultant / Solopreneur</t>
        </is>
      </c>
      <c r="C161" s="85" t="inlineStr">
        <is>
          <t>Business</t>
        </is>
      </c>
      <c r="D161" s="83" t="n">
        <v>60</v>
      </c>
      <c r="E161" s="83" t="n">
        <v>70</v>
      </c>
      <c r="F161" s="83" t="n">
        <v>80</v>
      </c>
      <c r="G161" s="83" t="n">
        <v>74</v>
      </c>
      <c r="H161" s="83" t="n">
        <v>70</v>
      </c>
      <c r="I161" s="83">
        <f>ABS('Student Calculator'!C30-D161)</f>
        <v/>
      </c>
      <c r="J161" s="83">
        <f>ABS('Student Calculator'!D30-E161)</f>
        <v/>
      </c>
      <c r="K161" s="83">
        <f>ABS('Student Calculator'!E30-F161)</f>
        <v/>
      </c>
      <c r="L161" s="83">
        <f>ABS('Student Calculator'!F30-G161)</f>
        <v/>
      </c>
      <c r="M161" s="86">
        <f>ROUND(MAX(0, 100 - (I161*0.25 + J161*0.2 + K161*0.25 + L161*0.2)), 1)</f>
        <v/>
      </c>
      <c r="N161" s="87">
        <f>IF(M161&gt;=72,"🟢 BEST FIT",IF(M161&gt;=52,"🟡 CONSIDER","🔴 MISMATCH"))</f>
        <v/>
      </c>
      <c r="O161" s="88" t="inlineStr">
        <is>
          <t>Any degree + domain expertise</t>
        </is>
      </c>
      <c r="P161" s="93" t="inlineStr">
        <is>
          <t>Yes</t>
        </is>
      </c>
      <c r="Q161" s="88" t="inlineStr">
        <is>
          <t>Credibility carries over from a prior career; there is no formal route or gate</t>
        </is>
      </c>
      <c r="R161" s="88" t="inlineStr">
        <is>
          <t>ANY degree with a track record</t>
        </is>
      </c>
    </row>
    <row r="162" ht="30" customHeight="1" s="63">
      <c r="A162" s="76" t="n">
        <v>159</v>
      </c>
      <c r="B162" s="77" t="inlineStr">
        <is>
          <t>Market Research Analyst</t>
        </is>
      </c>
      <c r="C162" s="78" t="inlineStr">
        <is>
          <t>Business</t>
        </is>
      </c>
      <c r="D162" s="76" t="n">
        <v>52</v>
      </c>
      <c r="E162" s="76" t="n">
        <v>74</v>
      </c>
      <c r="F162" s="76" t="n">
        <v>66</v>
      </c>
      <c r="G162" s="76" t="n">
        <v>78</v>
      </c>
      <c r="H162" s="76" t="n">
        <v>68</v>
      </c>
      <c r="I162" s="76">
        <f>ABS('Student Calculator'!C30-D162)</f>
        <v/>
      </c>
      <c r="J162" s="76">
        <f>ABS('Student Calculator'!D30-E162)</f>
        <v/>
      </c>
      <c r="K162" s="76">
        <f>ABS('Student Calculator'!E30-F162)</f>
        <v/>
      </c>
      <c r="L162" s="76">
        <f>ABS('Student Calculator'!F30-G162)</f>
        <v/>
      </c>
      <c r="M162" s="79">
        <f>ROUND(MAX(0, 100 - (I162*0.25 + J162*0.2 + K162*0.25 + L162*0.2)), 1)</f>
        <v/>
      </c>
      <c r="N162" s="80">
        <f>IF(M162&gt;=72,"🟢 BEST FIT",IF(M162&gt;=52,"🟡 CONSIDER","🔴 MISMATCH"))</f>
        <v/>
      </c>
      <c r="O162" s="81" t="inlineStr">
        <is>
          <t>Any degree + research methods</t>
        </is>
      </c>
      <c r="P162" s="92" t="inlineStr">
        <is>
          <t>Yes</t>
        </is>
      </c>
      <c r="Q162" s="81" t="inlineStr">
        <is>
          <t>MRSI certification; entry via a field-research or analytics role</t>
        </is>
      </c>
      <c r="R162" s="81" t="inlineStr">
        <is>
          <t>Statistics, Economics, Psychology, ANY degree</t>
        </is>
      </c>
    </row>
    <row r="163" ht="30" customHeight="1" s="63">
      <c r="A163" s="83" t="n">
        <v>160</v>
      </c>
      <c r="B163" s="84" t="inlineStr">
        <is>
          <t>Growth Marketer</t>
        </is>
      </c>
      <c r="C163" s="85" t="inlineStr">
        <is>
          <t>Business</t>
        </is>
      </c>
      <c r="D163" s="83" t="n">
        <v>58</v>
      </c>
      <c r="E163" s="83" t="n">
        <v>70</v>
      </c>
      <c r="F163" s="83" t="n">
        <v>70</v>
      </c>
      <c r="G163" s="83" t="n">
        <v>78</v>
      </c>
      <c r="H163" s="83" t="n">
        <v>68</v>
      </c>
      <c r="I163" s="83">
        <f>ABS('Student Calculator'!C30-D163)</f>
        <v/>
      </c>
      <c r="J163" s="83">
        <f>ABS('Student Calculator'!D30-E163)</f>
        <v/>
      </c>
      <c r="K163" s="83">
        <f>ABS('Student Calculator'!E30-F163)</f>
        <v/>
      </c>
      <c r="L163" s="83">
        <f>ABS('Student Calculator'!F30-G163)</f>
        <v/>
      </c>
      <c r="M163" s="86">
        <f>ROUND(MAX(0, 100 - (I163*0.25 + J163*0.2 + K163*0.25 + L163*0.2)), 1)</f>
        <v/>
      </c>
      <c r="N163" s="87">
        <f>IF(M163&gt;=72,"🟢 BEST FIT",IF(M163&gt;=52,"🟡 CONSIDER","🔴 MISMATCH"))</f>
        <v/>
      </c>
      <c r="O163" s="88" t="inlineStr">
        <is>
          <t>Any bachelor's degree</t>
        </is>
      </c>
      <c r="P163" s="93" t="inlineStr">
        <is>
          <t>Yes</t>
        </is>
      </c>
      <c r="Q163" s="88" t="inlineStr">
        <is>
          <t>An analytics and experimentation portfolio; a common startup entry role</t>
        </is>
      </c>
      <c r="R163" s="88" t="inlineStr">
        <is>
          <t>ANY degree</t>
        </is>
      </c>
    </row>
    <row r="164" ht="30" customHeight="1" s="63">
      <c r="A164" s="76" t="n">
        <v>161</v>
      </c>
      <c r="B164" s="77" t="inlineStr">
        <is>
          <t>Content Strategist</t>
        </is>
      </c>
      <c r="C164" s="78" t="inlineStr">
        <is>
          <t>Media</t>
        </is>
      </c>
      <c r="D164" s="76" t="n">
        <v>62</v>
      </c>
      <c r="E164" s="76" t="n">
        <v>68</v>
      </c>
      <c r="F164" s="76" t="n">
        <v>74</v>
      </c>
      <c r="G164" s="76" t="n">
        <v>76</v>
      </c>
      <c r="H164" s="76" t="n">
        <v>68</v>
      </c>
      <c r="I164" s="76">
        <f>ABS('Student Calculator'!C30-D164)</f>
        <v/>
      </c>
      <c r="J164" s="76">
        <f>ABS('Student Calculator'!D30-E164)</f>
        <v/>
      </c>
      <c r="K164" s="76">
        <f>ABS('Student Calculator'!E30-F164)</f>
        <v/>
      </c>
      <c r="L164" s="76">
        <f>ABS('Student Calculator'!F30-G164)</f>
        <v/>
      </c>
      <c r="M164" s="79">
        <f>ROUND(MAX(0, 100 - (I164*0.25 + J164*0.2 + K164*0.25 + L164*0.2)), 1)</f>
        <v/>
      </c>
      <c r="N164" s="80">
        <f>IF(M164&gt;=72,"🟢 BEST FIT",IF(M164&gt;=52,"🟡 CONSIDER","🔴 MISMATCH"))</f>
        <v/>
      </c>
      <c r="O164" s="81" t="inlineStr">
        <is>
          <t>Any bachelor's degree</t>
        </is>
      </c>
      <c r="P164" s="92" t="inlineStr">
        <is>
          <t>Yes</t>
        </is>
      </c>
      <c r="Q164" s="81" t="inlineStr">
        <is>
          <t>A portfolio of published work; content writer → strategist progression</t>
        </is>
      </c>
      <c r="R164" s="81" t="inlineStr">
        <is>
          <t>ANY degree — Literature, Journalism and Engineering are all common</t>
        </is>
      </c>
    </row>
    <row r="165" ht="30" customHeight="1" s="63">
      <c r="A165" s="83" t="n">
        <v>162</v>
      </c>
      <c r="B165" s="84" t="inlineStr">
        <is>
          <t>SEO Specialist</t>
        </is>
      </c>
      <c r="C165" s="85" t="inlineStr">
        <is>
          <t>Media</t>
        </is>
      </c>
      <c r="D165" s="83" t="n">
        <v>52</v>
      </c>
      <c r="E165" s="83" t="n">
        <v>70</v>
      </c>
      <c r="F165" s="83" t="n">
        <v>68</v>
      </c>
      <c r="G165" s="83" t="n">
        <v>74</v>
      </c>
      <c r="H165" s="83" t="n">
        <v>66</v>
      </c>
      <c r="I165" s="83">
        <f>ABS('Student Calculator'!C30-D165)</f>
        <v/>
      </c>
      <c r="J165" s="83">
        <f>ABS('Student Calculator'!D30-E165)</f>
        <v/>
      </c>
      <c r="K165" s="83">
        <f>ABS('Student Calculator'!E30-F165)</f>
        <v/>
      </c>
      <c r="L165" s="83">
        <f>ABS('Student Calculator'!F30-G165)</f>
        <v/>
      </c>
      <c r="M165" s="86">
        <f>ROUND(MAX(0, 100 - (I165*0.25 + J165*0.2 + K165*0.25 + L165*0.2)), 1)</f>
        <v/>
      </c>
      <c r="N165" s="87">
        <f>IF(M165&gt;=72,"🟢 BEST FIT",IF(M165&gt;=52,"🟡 CONSIDER","🔴 MISMATCH"))</f>
        <v/>
      </c>
      <c r="O165" s="88" t="inlineStr">
        <is>
          <t>Any bachelor's degree</t>
        </is>
      </c>
      <c r="P165" s="93" t="inlineStr">
        <is>
          <t>Yes</t>
        </is>
      </c>
      <c r="Q165" s="88" t="inlineStr">
        <is>
          <t>Google, Ahrefs and Semrush certifications plus demonstrable ranking results</t>
        </is>
      </c>
      <c r="R165" s="88" t="inlineStr">
        <is>
          <t>ANY degree</t>
        </is>
      </c>
    </row>
    <row r="166" ht="30" customHeight="1" s="63">
      <c r="A166" s="76" t="n">
        <v>163</v>
      </c>
      <c r="B166" s="77" t="inlineStr">
        <is>
          <t>Performance Marketing Analyst</t>
        </is>
      </c>
      <c r="C166" s="78" t="inlineStr">
        <is>
          <t>Media</t>
        </is>
      </c>
      <c r="D166" s="76" t="n">
        <v>52</v>
      </c>
      <c r="E166" s="76" t="n">
        <v>72</v>
      </c>
      <c r="F166" s="76" t="n">
        <v>66</v>
      </c>
      <c r="G166" s="76" t="n">
        <v>78</v>
      </c>
      <c r="H166" s="76" t="n">
        <v>68</v>
      </c>
      <c r="I166" s="76">
        <f>ABS('Student Calculator'!C30-D166)</f>
        <v/>
      </c>
      <c r="J166" s="76">
        <f>ABS('Student Calculator'!D30-E166)</f>
        <v/>
      </c>
      <c r="K166" s="76">
        <f>ABS('Student Calculator'!E30-F166)</f>
        <v/>
      </c>
      <c r="L166" s="76">
        <f>ABS('Student Calculator'!F30-G166)</f>
        <v/>
      </c>
      <c r="M166" s="79">
        <f>ROUND(MAX(0, 100 - (I166*0.25 + J166*0.2 + K166*0.25 + L166*0.2)), 1)</f>
        <v/>
      </c>
      <c r="N166" s="80">
        <f>IF(M166&gt;=72,"🟢 BEST FIT",IF(M166&gt;=52,"🟡 CONSIDER","🔴 MISMATCH"))</f>
        <v/>
      </c>
      <c r="O166" s="81" t="inlineStr">
        <is>
          <t>Any bachelor's degree</t>
        </is>
      </c>
      <c r="P166" s="92" t="inlineStr">
        <is>
          <t>Yes</t>
        </is>
      </c>
      <c r="Q166" s="81" t="inlineStr">
        <is>
          <t>Google Ads and Meta Blueprint certification plus a spend-management track record</t>
        </is>
      </c>
      <c r="R166" s="81" t="inlineStr">
        <is>
          <t>ANY degree</t>
        </is>
      </c>
    </row>
    <row r="167" ht="30" customHeight="1" s="63">
      <c r="A167" s="83" t="n">
        <v>164</v>
      </c>
      <c r="B167" s="84" t="inlineStr">
        <is>
          <t>Social Media Manager</t>
        </is>
      </c>
      <c r="C167" s="85" t="inlineStr">
        <is>
          <t>Media</t>
        </is>
      </c>
      <c r="D167" s="83" t="n">
        <v>60</v>
      </c>
      <c r="E167" s="83" t="n">
        <v>66</v>
      </c>
      <c r="F167" s="83" t="n">
        <v>72</v>
      </c>
      <c r="G167" s="83" t="n">
        <v>72</v>
      </c>
      <c r="H167" s="83" t="n">
        <v>64</v>
      </c>
      <c r="I167" s="83">
        <f>ABS('Student Calculator'!C30-D167)</f>
        <v/>
      </c>
      <c r="J167" s="83">
        <f>ABS('Student Calculator'!D30-E167)</f>
        <v/>
      </c>
      <c r="K167" s="83">
        <f>ABS('Student Calculator'!E30-F167)</f>
        <v/>
      </c>
      <c r="L167" s="83">
        <f>ABS('Student Calculator'!F30-G167)</f>
        <v/>
      </c>
      <c r="M167" s="86">
        <f>ROUND(MAX(0, 100 - (I167*0.25 + J167*0.2 + K167*0.25 + L167*0.2)), 1)</f>
        <v/>
      </c>
      <c r="N167" s="87">
        <f>IF(M167&gt;=72,"🟢 BEST FIT",IF(M167&gt;=52,"🟡 CONSIDER","🔴 MISMATCH"))</f>
        <v/>
      </c>
      <c r="O167" s="88" t="inlineStr">
        <is>
          <t>Any bachelor's degree</t>
        </is>
      </c>
      <c r="P167" s="93" t="inlineStr">
        <is>
          <t>Yes</t>
        </is>
      </c>
      <c r="Q167" s="88" t="inlineStr">
        <is>
          <t>A portfolio of managed accounts with growth metrics; no certification gate</t>
        </is>
      </c>
      <c r="R167" s="88" t="inlineStr">
        <is>
          <t>ANY degree</t>
        </is>
      </c>
    </row>
    <row r="168" ht="30" customHeight="1" s="63">
      <c r="A168" s="76" t="n">
        <v>165</v>
      </c>
      <c r="B168" s="77" t="inlineStr">
        <is>
          <t>Copywriter</t>
        </is>
      </c>
      <c r="C168" s="78" t="inlineStr">
        <is>
          <t>Creative</t>
        </is>
      </c>
      <c r="D168" s="76" t="n">
        <v>62</v>
      </c>
      <c r="E168" s="76" t="n">
        <v>64</v>
      </c>
      <c r="F168" s="76" t="n">
        <v>76</v>
      </c>
      <c r="G168" s="76" t="n">
        <v>78</v>
      </c>
      <c r="H168" s="76" t="n">
        <v>64</v>
      </c>
      <c r="I168" s="76">
        <f>ABS('Student Calculator'!C30-D168)</f>
        <v/>
      </c>
      <c r="J168" s="76">
        <f>ABS('Student Calculator'!D30-E168)</f>
        <v/>
      </c>
      <c r="K168" s="76">
        <f>ABS('Student Calculator'!E30-F168)</f>
        <v/>
      </c>
      <c r="L168" s="76">
        <f>ABS('Student Calculator'!F30-G168)</f>
        <v/>
      </c>
      <c r="M168" s="79">
        <f>ROUND(MAX(0, 100 - (I168*0.25 + J168*0.2 + K168*0.25 + L168*0.2)), 1)</f>
        <v/>
      </c>
      <c r="N168" s="80">
        <f>IF(M168&gt;=72,"🟢 BEST FIT",IF(M168&gt;=52,"🟡 CONSIDER","🔴 MISMATCH"))</f>
        <v/>
      </c>
      <c r="O168" s="81" t="inlineStr">
        <is>
          <t>Any bachelor's degree</t>
        </is>
      </c>
      <c r="P168" s="92" t="inlineStr">
        <is>
          <t>Yes</t>
        </is>
      </c>
      <c r="Q168" s="81" t="inlineStr">
        <is>
          <t>Portfolio-first hiring; agency internship or freelance samples</t>
        </is>
      </c>
      <c r="R168" s="81" t="inlineStr">
        <is>
          <t>ANY degree</t>
        </is>
      </c>
    </row>
    <row r="169" ht="30" customHeight="1" s="63">
      <c r="A169" s="83" t="n">
        <v>166</v>
      </c>
      <c r="B169" s="84" t="inlineStr">
        <is>
          <t>Public Relations Specialist</t>
        </is>
      </c>
      <c r="C169" s="85" t="inlineStr">
        <is>
          <t>Media</t>
        </is>
      </c>
      <c r="D169" s="83" t="n">
        <v>66</v>
      </c>
      <c r="E169" s="83" t="n">
        <v>66</v>
      </c>
      <c r="F169" s="83" t="n">
        <v>70</v>
      </c>
      <c r="G169" s="83" t="n">
        <v>72</v>
      </c>
      <c r="H169" s="83" t="n">
        <v>66</v>
      </c>
      <c r="I169" s="83">
        <f>ABS('Student Calculator'!C30-D169)</f>
        <v/>
      </c>
      <c r="J169" s="83">
        <f>ABS('Student Calculator'!D30-E169)</f>
        <v/>
      </c>
      <c r="K169" s="83">
        <f>ABS('Student Calculator'!E30-F169)</f>
        <v/>
      </c>
      <c r="L169" s="83">
        <f>ABS('Student Calculator'!F30-G169)</f>
        <v/>
      </c>
      <c r="M169" s="86">
        <f>ROUND(MAX(0, 100 - (I169*0.25 + J169*0.2 + K169*0.25 + L169*0.2)), 1)</f>
        <v/>
      </c>
      <c r="N169" s="87">
        <f>IF(M169&gt;=72,"🟢 BEST FIT",IF(M169&gt;=52,"🟡 CONSIDER","🔴 MISMATCH"))</f>
        <v/>
      </c>
      <c r="O169" s="88" t="inlineStr">
        <is>
          <t>Any degree + Mass Comm (optional)</t>
        </is>
      </c>
      <c r="P169" s="93" t="inlineStr">
        <is>
          <t>Yes</t>
        </is>
      </c>
      <c r="Q169" s="88" t="inlineStr">
        <is>
          <t>Agency executive entry; IIMC and Xavier's PG Diplomas are open to any graduate</t>
        </is>
      </c>
      <c r="R169" s="88" t="inlineStr">
        <is>
          <t>ANY degree</t>
        </is>
      </c>
    </row>
    <row r="170" ht="30" customHeight="1" s="63">
      <c r="A170" s="76" t="n">
        <v>167</v>
      </c>
      <c r="B170" s="77" t="inlineStr">
        <is>
          <t>Corporate Communications Manager</t>
        </is>
      </c>
      <c r="C170" s="78" t="inlineStr">
        <is>
          <t>Media</t>
        </is>
      </c>
      <c r="D170" s="76" t="n">
        <v>64</v>
      </c>
      <c r="E170" s="76" t="n">
        <v>72</v>
      </c>
      <c r="F170" s="76" t="n">
        <v>72</v>
      </c>
      <c r="G170" s="76" t="n">
        <v>74</v>
      </c>
      <c r="H170" s="76" t="n">
        <v>70</v>
      </c>
      <c r="I170" s="76">
        <f>ABS('Student Calculator'!C30-D170)</f>
        <v/>
      </c>
      <c r="J170" s="76">
        <f>ABS('Student Calculator'!D30-E170)</f>
        <v/>
      </c>
      <c r="K170" s="76">
        <f>ABS('Student Calculator'!E30-F170)</f>
        <v/>
      </c>
      <c r="L170" s="76">
        <f>ABS('Student Calculator'!F30-G170)</f>
        <v/>
      </c>
      <c r="M170" s="79">
        <f>ROUND(MAX(0, 100 - (I170*0.25 + J170*0.2 + K170*0.25 + L170*0.2)), 1)</f>
        <v/>
      </c>
      <c r="N170" s="80">
        <f>IF(M170&gt;=72,"🟢 BEST FIT",IF(M170&gt;=52,"🟡 CONSIDER","🔴 MISMATCH"))</f>
        <v/>
      </c>
      <c r="O170" s="81" t="inlineStr">
        <is>
          <t>Any degree + Mass Comm or MBA</t>
        </is>
      </c>
      <c r="P170" s="92" t="inlineStr">
        <is>
          <t>Yes</t>
        </is>
      </c>
      <c r="Q170" s="81" t="inlineStr">
        <is>
          <t>Pivot from PR, journalism or marketing; there is no fixed route</t>
        </is>
      </c>
      <c r="R170" s="81" t="inlineStr">
        <is>
          <t>ANY degree</t>
        </is>
      </c>
    </row>
    <row r="171" ht="30" customHeight="1" s="63">
      <c r="A171" s="83" t="n">
        <v>168</v>
      </c>
      <c r="B171" s="84" t="inlineStr">
        <is>
          <t>Community Manager</t>
        </is>
      </c>
      <c r="C171" s="85" t="inlineStr">
        <is>
          <t>Media</t>
        </is>
      </c>
      <c r="D171" s="83" t="n">
        <v>66</v>
      </c>
      <c r="E171" s="83" t="n">
        <v>66</v>
      </c>
      <c r="F171" s="83" t="n">
        <v>74</v>
      </c>
      <c r="G171" s="83" t="n">
        <v>68</v>
      </c>
      <c r="H171" s="83" t="n">
        <v>64</v>
      </c>
      <c r="I171" s="83">
        <f>ABS('Student Calculator'!C30-D171)</f>
        <v/>
      </c>
      <c r="J171" s="83">
        <f>ABS('Student Calculator'!D30-E171)</f>
        <v/>
      </c>
      <c r="K171" s="83">
        <f>ABS('Student Calculator'!E30-F171)</f>
        <v/>
      </c>
      <c r="L171" s="83">
        <f>ABS('Student Calculator'!F30-G171)</f>
        <v/>
      </c>
      <c r="M171" s="86">
        <f>ROUND(MAX(0, 100 - (I171*0.25 + J171*0.2 + K171*0.25 + L171*0.2)), 1)</f>
        <v/>
      </c>
      <c r="N171" s="87">
        <f>IF(M171&gt;=72,"🟢 BEST FIT",IF(M171&gt;=52,"🟡 CONSIDER","🔴 MISMATCH"))</f>
        <v/>
      </c>
      <c r="O171" s="88" t="inlineStr">
        <is>
          <t>Any bachelor's degree</t>
        </is>
      </c>
      <c r="P171" s="93" t="inlineStr">
        <is>
          <t>Yes</t>
        </is>
      </c>
      <c r="Q171" s="88" t="inlineStr">
        <is>
          <t>Run a community and show engagement metrics — that is the entire gate</t>
        </is>
      </c>
      <c r="R171" s="88" t="inlineStr">
        <is>
          <t>ANY degree</t>
        </is>
      </c>
    </row>
    <row r="172" ht="30" customHeight="1" s="63">
      <c r="A172" s="76" t="n">
        <v>169</v>
      </c>
      <c r="B172" s="77" t="inlineStr">
        <is>
          <t>Video Editor</t>
        </is>
      </c>
      <c r="C172" s="78" t="inlineStr">
        <is>
          <t>Creative</t>
        </is>
      </c>
      <c r="D172" s="76" t="n">
        <v>55</v>
      </c>
      <c r="E172" s="76" t="n">
        <v>66</v>
      </c>
      <c r="F172" s="76" t="n">
        <v>74</v>
      </c>
      <c r="G172" s="76" t="n">
        <v>80</v>
      </c>
      <c r="H172" s="76" t="n">
        <v>64</v>
      </c>
      <c r="I172" s="76">
        <f>ABS('Student Calculator'!C30-D172)</f>
        <v/>
      </c>
      <c r="J172" s="76">
        <f>ABS('Student Calculator'!D30-E172)</f>
        <v/>
      </c>
      <c r="K172" s="76">
        <f>ABS('Student Calculator'!E30-F172)</f>
        <v/>
      </c>
      <c r="L172" s="76">
        <f>ABS('Student Calculator'!F30-G172)</f>
        <v/>
      </c>
      <c r="M172" s="79">
        <f>ROUND(MAX(0, 100 - (I172*0.25 + J172*0.2 + K172*0.25 + L172*0.2)), 1)</f>
        <v/>
      </c>
      <c r="N172" s="80">
        <f>IF(M172&gt;=72,"🟢 BEST FIT",IF(M172&gt;=52,"🟡 CONSIDER","🔴 MISMATCH"))</f>
        <v/>
      </c>
      <c r="O172" s="81" t="inlineStr">
        <is>
          <t>Any degree + editing skills</t>
        </is>
      </c>
      <c r="P172" s="92" t="inlineStr">
        <is>
          <t>Yes</t>
        </is>
      </c>
      <c r="Q172" s="81" t="inlineStr">
        <is>
          <t>Software skill plus a showreel; MAAC/Arena diploma is optional</t>
        </is>
      </c>
      <c r="R172" s="81" t="inlineStr">
        <is>
          <t>ANY degree, or none</t>
        </is>
      </c>
    </row>
    <row r="173" ht="30" customHeight="1" s="63">
      <c r="A173" s="83" t="n">
        <v>170</v>
      </c>
      <c r="B173" s="84" t="inlineStr">
        <is>
          <t>Podcast Producer</t>
        </is>
      </c>
      <c r="C173" s="85" t="inlineStr">
        <is>
          <t>Media</t>
        </is>
      </c>
      <c r="D173" s="83" t="n">
        <v>58</v>
      </c>
      <c r="E173" s="83" t="n">
        <v>68</v>
      </c>
      <c r="F173" s="83" t="n">
        <v>74</v>
      </c>
      <c r="G173" s="83" t="n">
        <v>74</v>
      </c>
      <c r="H173" s="83" t="n">
        <v>64</v>
      </c>
      <c r="I173" s="83">
        <f>ABS('Student Calculator'!C30-D173)</f>
        <v/>
      </c>
      <c r="J173" s="83">
        <f>ABS('Student Calculator'!D30-E173)</f>
        <v/>
      </c>
      <c r="K173" s="83">
        <f>ABS('Student Calculator'!E30-F173)</f>
        <v/>
      </c>
      <c r="L173" s="83">
        <f>ABS('Student Calculator'!F30-G173)</f>
        <v/>
      </c>
      <c r="M173" s="86">
        <f>ROUND(MAX(0, 100 - (I173*0.25 + J173*0.2 + K173*0.25 + L173*0.2)), 1)</f>
        <v/>
      </c>
      <c r="N173" s="87">
        <f>IF(M173&gt;=72,"🟢 BEST FIT",IF(M173&gt;=52,"🟡 CONSIDER","🔴 MISMATCH"))</f>
        <v/>
      </c>
      <c r="O173" s="88" t="inlineStr">
        <is>
          <t>Any bachelor's degree</t>
        </is>
      </c>
      <c r="P173" s="93" t="inlineStr">
        <is>
          <t>Yes</t>
        </is>
      </c>
      <c r="Q173" s="88" t="inlineStr">
        <is>
          <t>A portfolio of produced episodes plus audio-engineering basics</t>
        </is>
      </c>
      <c r="R173" s="88" t="inlineStr">
        <is>
          <t>ANY degree, or none</t>
        </is>
      </c>
    </row>
    <row r="174" ht="30" customHeight="1" s="63">
      <c r="A174" s="76" t="n">
        <v>171</v>
      </c>
      <c r="B174" s="77" t="inlineStr">
        <is>
          <t>Technical Writer</t>
        </is>
      </c>
      <c r="C174" s="78" t="inlineStr">
        <is>
          <t>Media</t>
        </is>
      </c>
      <c r="D174" s="76" t="n">
        <v>50</v>
      </c>
      <c r="E174" s="76" t="n">
        <v>74</v>
      </c>
      <c r="F174" s="76" t="n">
        <v>66</v>
      </c>
      <c r="G174" s="76" t="n">
        <v>80</v>
      </c>
      <c r="H174" s="76" t="n">
        <v>68</v>
      </c>
      <c r="I174" s="76">
        <f>ABS('Student Calculator'!C30-D174)</f>
        <v/>
      </c>
      <c r="J174" s="76">
        <f>ABS('Student Calculator'!D30-E174)</f>
        <v/>
      </c>
      <c r="K174" s="76">
        <f>ABS('Student Calculator'!E30-F174)</f>
        <v/>
      </c>
      <c r="L174" s="76">
        <f>ABS('Student Calculator'!F30-G174)</f>
        <v/>
      </c>
      <c r="M174" s="79">
        <f>ROUND(MAX(0, 100 - (I174*0.25 + J174*0.2 + K174*0.25 + L174*0.2)), 1)</f>
        <v/>
      </c>
      <c r="N174" s="80">
        <f>IF(M174&gt;=72,"🟢 BEST FIT",IF(M174&gt;=52,"🟡 CONSIDER","🔴 MISMATCH"))</f>
        <v/>
      </c>
      <c r="O174" s="81" t="inlineStr">
        <is>
          <t>Any degree + domain literacy</t>
        </is>
      </c>
      <c r="P174" s="92" t="inlineStr">
        <is>
          <t>Yes</t>
        </is>
      </c>
      <c r="Q174" s="81" t="inlineStr">
        <is>
          <t>Writing samples plus API/product understanding — a common pivot for engineers who prefer writing</t>
        </is>
      </c>
      <c r="R174" s="81" t="inlineStr">
        <is>
          <t>BE, B.Sc, English, ANY degree</t>
        </is>
      </c>
    </row>
    <row r="175" ht="30" customHeight="1" s="63">
      <c r="A175" s="83" t="n">
        <v>172</v>
      </c>
      <c r="B175" s="84" t="inlineStr">
        <is>
          <t>Localisation / Translation Specialist</t>
        </is>
      </c>
      <c r="C175" s="85" t="inlineStr">
        <is>
          <t>Media</t>
        </is>
      </c>
      <c r="D175" s="83" t="n">
        <v>50</v>
      </c>
      <c r="E175" s="83" t="n">
        <v>72</v>
      </c>
      <c r="F175" s="83" t="n">
        <v>70</v>
      </c>
      <c r="G175" s="83" t="n">
        <v>82</v>
      </c>
      <c r="H175" s="83" t="n">
        <v>66</v>
      </c>
      <c r="I175" s="83">
        <f>ABS('Student Calculator'!C30-D175)</f>
        <v/>
      </c>
      <c r="J175" s="83">
        <f>ABS('Student Calculator'!D30-E175)</f>
        <v/>
      </c>
      <c r="K175" s="83">
        <f>ABS('Student Calculator'!E30-F175)</f>
        <v/>
      </c>
      <c r="L175" s="83">
        <f>ABS('Student Calculator'!F30-G175)</f>
        <v/>
      </c>
      <c r="M175" s="86">
        <f>ROUND(MAX(0, 100 - (I175*0.25 + J175*0.2 + K175*0.25 + L175*0.2)), 1)</f>
        <v/>
      </c>
      <c r="N175" s="87">
        <f>IF(M175&gt;=72,"🟢 BEST FIT",IF(M175&gt;=52,"🟡 CONSIDER","🔴 MISMATCH"))</f>
        <v/>
      </c>
      <c r="O175" s="88" t="inlineStr">
        <is>
          <t>Any degree + language proficiency</t>
        </is>
      </c>
      <c r="P175" s="93" t="inlineStr">
        <is>
          <t>Yes</t>
        </is>
      </c>
      <c r="Q175" s="88" t="inlineStr">
        <is>
          <t>Language proficiency certification (JLPT, DELF, Goethe, HSK) — no degree gate</t>
        </is>
      </c>
      <c r="R175" s="88" t="inlineStr">
        <is>
          <t>ANY degree with a second language</t>
        </is>
      </c>
    </row>
    <row r="176" ht="30" customHeight="1" s="63">
      <c r="A176" s="76" t="n">
        <v>173</v>
      </c>
      <c r="B176" s="77" t="inlineStr">
        <is>
          <t>Esports / Gaming Content Manager</t>
        </is>
      </c>
      <c r="C176" s="78" t="inlineStr">
        <is>
          <t>Media</t>
        </is>
      </c>
      <c r="D176" s="76" t="n">
        <v>62</v>
      </c>
      <c r="E176" s="76" t="n">
        <v>66</v>
      </c>
      <c r="F176" s="76" t="n">
        <v>76</v>
      </c>
      <c r="G176" s="76" t="n">
        <v>72</v>
      </c>
      <c r="H176" s="76" t="n">
        <v>64</v>
      </c>
      <c r="I176" s="76">
        <f>ABS('Student Calculator'!C30-D176)</f>
        <v/>
      </c>
      <c r="J176" s="76">
        <f>ABS('Student Calculator'!D30-E176)</f>
        <v/>
      </c>
      <c r="K176" s="76">
        <f>ABS('Student Calculator'!E30-F176)</f>
        <v/>
      </c>
      <c r="L176" s="76">
        <f>ABS('Student Calculator'!F30-G176)</f>
        <v/>
      </c>
      <c r="M176" s="79">
        <f>ROUND(MAX(0, 100 - (I176*0.25 + J176*0.2 + K176*0.25 + L176*0.2)), 1)</f>
        <v/>
      </c>
      <c r="N176" s="80">
        <f>IF(M176&gt;=72,"🟢 BEST FIT",IF(M176&gt;=52,"🟡 CONSIDER","🔴 MISMATCH"))</f>
        <v/>
      </c>
      <c r="O176" s="81" t="inlineStr">
        <is>
          <t>Any bachelor's degree</t>
        </is>
      </c>
      <c r="P176" s="92" t="inlineStr">
        <is>
          <t>Yes</t>
        </is>
      </c>
      <c r="Q176" s="81" t="inlineStr">
        <is>
          <t>A community and content portfolio; there is no gate</t>
        </is>
      </c>
      <c r="R176" s="81" t="inlineStr">
        <is>
          <t>ANY degree, or none</t>
        </is>
      </c>
    </row>
    <row r="177" ht="30" customHeight="1" s="63">
      <c r="A177" s="83" t="n">
        <v>174</v>
      </c>
      <c r="B177" s="84" t="inlineStr">
        <is>
          <t>Sports Broadcaster / Commentator</t>
        </is>
      </c>
      <c r="C177" s="85" t="inlineStr">
        <is>
          <t>Media</t>
        </is>
      </c>
      <c r="D177" s="83" t="n">
        <v>64</v>
      </c>
      <c r="E177" s="83" t="n">
        <v>66</v>
      </c>
      <c r="F177" s="83" t="n">
        <v>76</v>
      </c>
      <c r="G177" s="83" t="n">
        <v>76</v>
      </c>
      <c r="H177" s="83" t="n">
        <v>64</v>
      </c>
      <c r="I177" s="83">
        <f>ABS('Student Calculator'!C30-D177)</f>
        <v/>
      </c>
      <c r="J177" s="83">
        <f>ABS('Student Calculator'!D30-E177)</f>
        <v/>
      </c>
      <c r="K177" s="83">
        <f>ABS('Student Calculator'!E30-F177)</f>
        <v/>
      </c>
      <c r="L177" s="83">
        <f>ABS('Student Calculator'!F30-G177)</f>
        <v/>
      </c>
      <c r="M177" s="86">
        <f>ROUND(MAX(0, 100 - (I177*0.25 + J177*0.2 + K177*0.25 + L177*0.2)), 1)</f>
        <v/>
      </c>
      <c r="N177" s="87">
        <f>IF(M177&gt;=72,"🟢 BEST FIT",IF(M177&gt;=52,"🟡 CONSIDER","🔴 MISMATCH"))</f>
        <v/>
      </c>
      <c r="O177" s="88" t="inlineStr">
        <is>
          <t>Any bachelor's degree</t>
        </is>
      </c>
      <c r="P177" s="93" t="inlineStr">
        <is>
          <t>Yes</t>
        </is>
      </c>
      <c r="Q177" s="88" t="inlineStr">
        <is>
          <t>Audition-led; sports knowledge and voice matter, mass communication is optional</t>
        </is>
      </c>
      <c r="R177" s="88" t="inlineStr">
        <is>
          <t>ANY degree; former athletes have an edge</t>
        </is>
      </c>
    </row>
    <row r="178" ht="30" customHeight="1" s="63">
      <c r="A178" s="76" t="n">
        <v>175</v>
      </c>
      <c r="B178" s="77" t="inlineStr">
        <is>
          <t>Financial Analyst (FP&amp;A)</t>
        </is>
      </c>
      <c r="C178" s="78" t="inlineStr">
        <is>
          <t>Finance</t>
        </is>
      </c>
      <c r="D178" s="76" t="n">
        <v>50</v>
      </c>
      <c r="E178" s="76" t="n">
        <v>76</v>
      </c>
      <c r="F178" s="76" t="n">
        <v>66</v>
      </c>
      <c r="G178" s="76" t="n">
        <v>78</v>
      </c>
      <c r="H178" s="76" t="n">
        <v>70</v>
      </c>
      <c r="I178" s="76">
        <f>ABS('Student Calculator'!C30-D178)</f>
        <v/>
      </c>
      <c r="J178" s="76">
        <f>ABS('Student Calculator'!D30-E178)</f>
        <v/>
      </c>
      <c r="K178" s="76">
        <f>ABS('Student Calculator'!E30-F178)</f>
        <v/>
      </c>
      <c r="L178" s="76">
        <f>ABS('Student Calculator'!F30-G178)</f>
        <v/>
      </c>
      <c r="M178" s="79">
        <f>ROUND(MAX(0, 100 - (I178*0.25 + J178*0.2 + K178*0.25 + L178*0.2)), 1)</f>
        <v/>
      </c>
      <c r="N178" s="80">
        <f>IF(M178&gt;=72,"🟢 BEST FIT",IF(M178&gt;=52,"🟡 CONSIDER","🔴 MISMATCH"))</f>
        <v/>
      </c>
      <c r="O178" s="81" t="inlineStr">
        <is>
          <t>B.Com/BBA/any degree + CFA or MBA</t>
        </is>
      </c>
      <c r="P178" s="92" t="inlineStr">
        <is>
          <t>Yes</t>
        </is>
      </c>
      <c r="Q178" s="81" t="inlineStr">
        <is>
          <t>CFA or FMVA certification; Excel modelling skill is the real gate</t>
        </is>
      </c>
      <c r="R178" s="81" t="inlineStr">
        <is>
          <t>B.Com, BBA, BE, Economics, CA</t>
        </is>
      </c>
    </row>
    <row r="179" ht="30" customHeight="1" s="63">
      <c r="A179" s="83" t="n">
        <v>176</v>
      </c>
      <c r="B179" s="84" t="inlineStr">
        <is>
          <t>Credit Analyst</t>
        </is>
      </c>
      <c r="C179" s="85" t="inlineStr">
        <is>
          <t>Finance</t>
        </is>
      </c>
      <c r="D179" s="83" t="n">
        <v>50</v>
      </c>
      <c r="E179" s="83" t="n">
        <v>76</v>
      </c>
      <c r="F179" s="83" t="n">
        <v>62</v>
      </c>
      <c r="G179" s="83" t="n">
        <v>76</v>
      </c>
      <c r="H179" s="83" t="n">
        <v>70</v>
      </c>
      <c r="I179" s="83">
        <f>ABS('Student Calculator'!C30-D179)</f>
        <v/>
      </c>
      <c r="J179" s="83">
        <f>ABS('Student Calculator'!D30-E179)</f>
        <v/>
      </c>
      <c r="K179" s="83">
        <f>ABS('Student Calculator'!E30-F179)</f>
        <v/>
      </c>
      <c r="L179" s="83">
        <f>ABS('Student Calculator'!F30-G179)</f>
        <v/>
      </c>
      <c r="M179" s="86">
        <f>ROUND(MAX(0, 100 - (I179*0.25 + J179*0.2 + K179*0.25 + L179*0.2)), 1)</f>
        <v/>
      </c>
      <c r="N179" s="87">
        <f>IF(M179&gt;=72,"🟢 BEST FIT",IF(M179&gt;=52,"🟡 CONSIDER","🔴 MISMATCH"))</f>
        <v/>
      </c>
      <c r="O179" s="88" t="inlineStr">
        <is>
          <t>B.Com or any degree</t>
        </is>
      </c>
      <c r="P179" s="93" t="inlineStr">
        <is>
          <t>Yes</t>
        </is>
      </c>
      <c r="Q179" s="88" t="inlineStr">
        <is>
          <t>NISM or Moody's credit certification; bank management-trainee route</t>
        </is>
      </c>
      <c r="R179" s="88" t="inlineStr">
        <is>
          <t>B.Com, BBA, Economics, ANY degree</t>
        </is>
      </c>
    </row>
    <row r="180" ht="30" customHeight="1" s="63">
      <c r="A180" s="76" t="n">
        <v>177</v>
      </c>
      <c r="B180" s="77" t="inlineStr">
        <is>
          <t>Risk Analyst</t>
        </is>
      </c>
      <c r="C180" s="78" t="inlineStr">
        <is>
          <t>Finance</t>
        </is>
      </c>
      <c r="D180" s="76" t="n">
        <v>50</v>
      </c>
      <c r="E180" s="76" t="n">
        <v>78</v>
      </c>
      <c r="F180" s="76" t="n">
        <v>64</v>
      </c>
      <c r="G180" s="76" t="n">
        <v>78</v>
      </c>
      <c r="H180" s="76" t="n">
        <v>70</v>
      </c>
      <c r="I180" s="76">
        <f>ABS('Student Calculator'!C30-D180)</f>
        <v/>
      </c>
      <c r="J180" s="76">
        <f>ABS('Student Calculator'!D30-E180)</f>
        <v/>
      </c>
      <c r="K180" s="76">
        <f>ABS('Student Calculator'!E30-F180)</f>
        <v/>
      </c>
      <c r="L180" s="76">
        <f>ABS('Student Calculator'!F30-G180)</f>
        <v/>
      </c>
      <c r="M180" s="79">
        <f>ROUND(MAX(0, 100 - (I180*0.25 + J180*0.2 + K180*0.25 + L180*0.2)), 1)</f>
        <v/>
      </c>
      <c r="N180" s="80">
        <f>IF(M180&gt;=72,"🟢 BEST FIT",IF(M180&gt;=52,"🟡 CONSIDER","🔴 MISMATCH"))</f>
        <v/>
      </c>
      <c r="O180" s="81" t="inlineStr">
        <is>
          <t>Any degree + FRM or PRM</t>
        </is>
      </c>
      <c r="P180" s="92" t="inlineStr">
        <is>
          <t>Yes</t>
        </is>
      </c>
      <c r="Q180" s="81" t="inlineStr">
        <is>
          <t>FRM (GARP) is open to any degree — quantitative skill is what matters</t>
        </is>
      </c>
      <c r="R180" s="81" t="inlineStr">
        <is>
          <t>Statistics, Maths, BE, B.Com, ANY degree</t>
        </is>
      </c>
    </row>
    <row r="181" ht="30" customHeight="1" s="63">
      <c r="A181" s="83" t="n">
        <v>178</v>
      </c>
      <c r="B181" s="84" t="inlineStr">
        <is>
          <t>Compliance Officer</t>
        </is>
      </c>
      <c r="C181" s="85" t="inlineStr">
        <is>
          <t>Finance</t>
        </is>
      </c>
      <c r="D181" s="83" t="n">
        <v>52</v>
      </c>
      <c r="E181" s="83" t="n">
        <v>78</v>
      </c>
      <c r="F181" s="83" t="n">
        <v>66</v>
      </c>
      <c r="G181" s="83" t="n">
        <v>72</v>
      </c>
      <c r="H181" s="83" t="n">
        <v>72</v>
      </c>
      <c r="I181" s="83">
        <f>ABS('Student Calculator'!C30-D181)</f>
        <v/>
      </c>
      <c r="J181" s="83">
        <f>ABS('Student Calculator'!D30-E181)</f>
        <v/>
      </c>
      <c r="K181" s="83">
        <f>ABS('Student Calculator'!E30-F181)</f>
        <v/>
      </c>
      <c r="L181" s="83">
        <f>ABS('Student Calculator'!F30-G181)</f>
        <v/>
      </c>
      <c r="M181" s="86">
        <f>ROUND(MAX(0, 100 - (I181*0.25 + J181*0.2 + K181*0.25 + L181*0.2)), 1)</f>
        <v/>
      </c>
      <c r="N181" s="87">
        <f>IF(M181&gt;=72,"🟢 BEST FIT",IF(M181&gt;=52,"🟡 CONSIDER","🔴 MISMATCH"))</f>
        <v/>
      </c>
      <c r="O181" s="88" t="inlineStr">
        <is>
          <t>Any degree + compliance certification</t>
        </is>
      </c>
      <c r="P181" s="93" t="inlineStr">
        <is>
          <t>Yes</t>
        </is>
      </c>
      <c r="Q181" s="88" t="inlineStr">
        <is>
          <t>NISM and IIBF compliance certifications; a common pivot from audit, law or operations</t>
        </is>
      </c>
      <c r="R181" s="88" t="inlineStr">
        <is>
          <t>B.Com, LLB, CS, ANY degree</t>
        </is>
      </c>
    </row>
    <row r="182" ht="30" customHeight="1" s="63">
      <c r="A182" s="76" t="n">
        <v>179</v>
      </c>
      <c r="B182" s="77" t="inlineStr">
        <is>
          <t>Internal Auditor</t>
        </is>
      </c>
      <c r="C182" s="78" t="inlineStr">
        <is>
          <t>Finance</t>
        </is>
      </c>
      <c r="D182" s="76" t="n">
        <v>50</v>
      </c>
      <c r="E182" s="76" t="n">
        <v>80</v>
      </c>
      <c r="F182" s="76" t="n">
        <v>64</v>
      </c>
      <c r="G182" s="76" t="n">
        <v>74</v>
      </c>
      <c r="H182" s="76" t="n">
        <v>72</v>
      </c>
      <c r="I182" s="76">
        <f>ABS('Student Calculator'!C30-D182)</f>
        <v/>
      </c>
      <c r="J182" s="76">
        <f>ABS('Student Calculator'!D30-E182)</f>
        <v/>
      </c>
      <c r="K182" s="76">
        <f>ABS('Student Calculator'!E30-F182)</f>
        <v/>
      </c>
      <c r="L182" s="76">
        <f>ABS('Student Calculator'!F30-G182)</f>
        <v/>
      </c>
      <c r="M182" s="79">
        <f>ROUND(MAX(0, 100 - (I182*0.25 + J182*0.2 + K182*0.25 + L182*0.2)), 1)</f>
        <v/>
      </c>
      <c r="N182" s="80">
        <f>IF(M182&gt;=72,"🟢 BEST FIT",IF(M182&gt;=52,"🟡 CONSIDER","🔴 MISMATCH"))</f>
        <v/>
      </c>
      <c r="O182" s="81" t="inlineStr">
        <is>
          <t>B.Com or any degree + CIA/CA</t>
        </is>
      </c>
      <c r="P182" s="92" t="inlineStr">
        <is>
          <t>Yes</t>
        </is>
      </c>
      <c r="Q182" s="81" t="inlineStr">
        <is>
          <t>CIA (Institute of Internal Auditors) certification is open to any graduate</t>
        </is>
      </c>
      <c r="R182" s="81" t="inlineStr">
        <is>
          <t>B.Com, CA, BBA, ANY degree</t>
        </is>
      </c>
    </row>
    <row r="183" ht="30" customHeight="1" s="63">
      <c r="A183" s="83" t="n">
        <v>180</v>
      </c>
      <c r="B183" s="84" t="inlineStr">
        <is>
          <t>Forensic Auditor / Fraud Investigator</t>
        </is>
      </c>
      <c r="C183" s="85" t="inlineStr">
        <is>
          <t>Finance</t>
        </is>
      </c>
      <c r="D183" s="83" t="n">
        <v>52</v>
      </c>
      <c r="E183" s="83" t="n">
        <v>78</v>
      </c>
      <c r="F183" s="83" t="n">
        <v>70</v>
      </c>
      <c r="G183" s="83" t="n">
        <v>78</v>
      </c>
      <c r="H183" s="83" t="n">
        <v>72</v>
      </c>
      <c r="I183" s="83">
        <f>ABS('Student Calculator'!C30-D183)</f>
        <v/>
      </c>
      <c r="J183" s="83">
        <f>ABS('Student Calculator'!D30-E183)</f>
        <v/>
      </c>
      <c r="K183" s="83">
        <f>ABS('Student Calculator'!E30-F183)</f>
        <v/>
      </c>
      <c r="L183" s="83">
        <f>ABS('Student Calculator'!F30-G183)</f>
        <v/>
      </c>
      <c r="M183" s="86">
        <f>ROUND(MAX(0, 100 - (I183*0.25 + J183*0.2 + K183*0.25 + L183*0.2)), 1)</f>
        <v/>
      </c>
      <c r="N183" s="87">
        <f>IF(M183&gt;=72,"🟢 BEST FIT",IF(M183&gt;=52,"🟡 CONSIDER","🔴 MISMATCH"))</f>
        <v/>
      </c>
      <c r="O183" s="88" t="inlineStr">
        <is>
          <t>Any degree + CFE</t>
        </is>
      </c>
      <c r="P183" s="93" t="inlineStr">
        <is>
          <t>Yes</t>
        </is>
      </c>
      <c r="Q183" s="88" t="inlineStr">
        <is>
          <t>CFE (ACFE) certification; pivot from audit, law enforcement or accounting</t>
        </is>
      </c>
      <c r="R183" s="88" t="inlineStr">
        <is>
          <t>B.Com, CA, Law, ANY degree</t>
        </is>
      </c>
    </row>
    <row r="184" ht="30" customHeight="1" s="63">
      <c r="A184" s="76" t="n">
        <v>181</v>
      </c>
      <c r="B184" s="77" t="inlineStr">
        <is>
          <t>Wealth Manager / Relationship Manager</t>
        </is>
      </c>
      <c r="C184" s="78" t="inlineStr">
        <is>
          <t>Finance</t>
        </is>
      </c>
      <c r="D184" s="76" t="n">
        <v>62</v>
      </c>
      <c r="E184" s="76" t="n">
        <v>70</v>
      </c>
      <c r="F184" s="76" t="n">
        <v>66</v>
      </c>
      <c r="G184" s="76" t="n">
        <v>70</v>
      </c>
      <c r="H184" s="76" t="n">
        <v>68</v>
      </c>
      <c r="I184" s="76">
        <f>ABS('Student Calculator'!C30-D184)</f>
        <v/>
      </c>
      <c r="J184" s="76">
        <f>ABS('Student Calculator'!D30-E184)</f>
        <v/>
      </c>
      <c r="K184" s="76">
        <f>ABS('Student Calculator'!E30-F184)</f>
        <v/>
      </c>
      <c r="L184" s="76">
        <f>ABS('Student Calculator'!F30-G184)</f>
        <v/>
      </c>
      <c r="M184" s="79">
        <f>ROUND(MAX(0, 100 - (I184*0.25 + J184*0.2 + K184*0.25 + L184*0.2)), 1)</f>
        <v/>
      </c>
      <c r="N184" s="80">
        <f>IF(M184&gt;=72,"🟢 BEST FIT",IF(M184&gt;=52,"🟡 CONSIDER","🔴 MISMATCH"))</f>
        <v/>
      </c>
      <c r="O184" s="81" t="inlineStr">
        <is>
          <t>Any degree + NISM or CFP</t>
        </is>
      </c>
      <c r="P184" s="92" t="inlineStr">
        <is>
          <t>Yes</t>
        </is>
      </c>
      <c r="Q184" s="81" t="inlineStr">
        <is>
          <t>NISM Investment Adviser or CFP; bank RM entry is open to any graduate</t>
        </is>
      </c>
      <c r="R184" s="81" t="inlineStr">
        <is>
          <t>ANY degree</t>
        </is>
      </c>
    </row>
    <row r="185" ht="30" customHeight="1" s="63">
      <c r="A185" s="83" t="n">
        <v>182</v>
      </c>
      <c r="B185" s="84" t="inlineStr">
        <is>
          <t>Treasury Analyst</t>
        </is>
      </c>
      <c r="C185" s="85" t="inlineStr">
        <is>
          <t>Finance</t>
        </is>
      </c>
      <c r="D185" s="83" t="n">
        <v>50</v>
      </c>
      <c r="E185" s="83" t="n">
        <v>76</v>
      </c>
      <c r="F185" s="83" t="n">
        <v>62</v>
      </c>
      <c r="G185" s="83" t="n">
        <v>78</v>
      </c>
      <c r="H185" s="83" t="n">
        <v>70</v>
      </c>
      <c r="I185" s="83">
        <f>ABS('Student Calculator'!C30-D185)</f>
        <v/>
      </c>
      <c r="J185" s="83">
        <f>ABS('Student Calculator'!D30-E185)</f>
        <v/>
      </c>
      <c r="K185" s="83">
        <f>ABS('Student Calculator'!E30-F185)</f>
        <v/>
      </c>
      <c r="L185" s="83">
        <f>ABS('Student Calculator'!F30-G185)</f>
        <v/>
      </c>
      <c r="M185" s="86">
        <f>ROUND(MAX(0, 100 - (I185*0.25 + J185*0.2 + K185*0.25 + L185*0.2)), 1)</f>
        <v/>
      </c>
      <c r="N185" s="87">
        <f>IF(M185&gt;=72,"🟢 BEST FIT",IF(M185&gt;=52,"🟡 CONSIDER","🔴 MISMATCH"))</f>
        <v/>
      </c>
      <c r="O185" s="88" t="inlineStr">
        <is>
          <t>B.Com/BBA + finance certification</t>
        </is>
      </c>
      <c r="P185" s="93" t="inlineStr">
        <is>
          <t>Yes</t>
        </is>
      </c>
      <c r="Q185" s="88" t="inlineStr">
        <is>
          <t>ACT or CTP certification; a pivot from accounts or banking operations</t>
        </is>
      </c>
      <c r="R185" s="88" t="inlineStr">
        <is>
          <t>B.Com, BBA, Economics, ANY degree</t>
        </is>
      </c>
    </row>
    <row r="186" ht="30" customHeight="1" s="63">
      <c r="A186" s="76" t="n">
        <v>183</v>
      </c>
      <c r="B186" s="77" t="inlineStr">
        <is>
          <t>Insurance Underwriter</t>
        </is>
      </c>
      <c r="C186" s="78" t="inlineStr">
        <is>
          <t>Finance</t>
        </is>
      </c>
      <c r="D186" s="76" t="n">
        <v>48</v>
      </c>
      <c r="E186" s="76" t="n">
        <v>78</v>
      </c>
      <c r="F186" s="76" t="n">
        <v>60</v>
      </c>
      <c r="G186" s="76" t="n">
        <v>74</v>
      </c>
      <c r="H186" s="76" t="n">
        <v>68</v>
      </c>
      <c r="I186" s="76">
        <f>ABS('Student Calculator'!C30-D186)</f>
        <v/>
      </c>
      <c r="J186" s="76">
        <f>ABS('Student Calculator'!D30-E186)</f>
        <v/>
      </c>
      <c r="K186" s="76">
        <f>ABS('Student Calculator'!E30-F186)</f>
        <v/>
      </c>
      <c r="L186" s="76">
        <f>ABS('Student Calculator'!F30-G186)</f>
        <v/>
      </c>
      <c r="M186" s="79">
        <f>ROUND(MAX(0, 100 - (I186*0.25 + J186*0.2 + K186*0.25 + L186*0.2)), 1)</f>
        <v/>
      </c>
      <c r="N186" s="80">
        <f>IF(M186&gt;=72,"🟢 BEST FIT",IF(M186&gt;=52,"🟡 CONSIDER","🔴 MISMATCH"))</f>
        <v/>
      </c>
      <c r="O186" s="81" t="inlineStr">
        <is>
          <t>Any degree + III certification</t>
        </is>
      </c>
      <c r="P186" s="92" t="inlineStr">
        <is>
          <t>Yes</t>
        </is>
      </c>
      <c r="Q186" s="81" t="inlineStr">
        <is>
          <t>Insurance Institute of India Licentiate and Fellowship examinations</t>
        </is>
      </c>
      <c r="R186" s="81" t="inlineStr">
        <is>
          <t>ANY degree</t>
        </is>
      </c>
    </row>
    <row r="187" ht="30" customHeight="1" s="63">
      <c r="A187" s="83" t="n">
        <v>184</v>
      </c>
      <c r="B187" s="84" t="inlineStr">
        <is>
          <t>Loan / Mortgage Officer</t>
        </is>
      </c>
      <c r="C187" s="85" t="inlineStr">
        <is>
          <t>Finance</t>
        </is>
      </c>
      <c r="D187" s="83" t="n">
        <v>58</v>
      </c>
      <c r="E187" s="83" t="n">
        <v>72</v>
      </c>
      <c r="F187" s="83" t="n">
        <v>60</v>
      </c>
      <c r="G187" s="83" t="n">
        <v>66</v>
      </c>
      <c r="H187" s="83" t="n">
        <v>64</v>
      </c>
      <c r="I187" s="83">
        <f>ABS('Student Calculator'!C30-D187)</f>
        <v/>
      </c>
      <c r="J187" s="83">
        <f>ABS('Student Calculator'!D30-E187)</f>
        <v/>
      </c>
      <c r="K187" s="83">
        <f>ABS('Student Calculator'!E30-F187)</f>
        <v/>
      </c>
      <c r="L187" s="83">
        <f>ABS('Student Calculator'!F30-G187)</f>
        <v/>
      </c>
      <c r="M187" s="86">
        <f>ROUND(MAX(0, 100 - (I187*0.25 + J187*0.2 + K187*0.25 + L187*0.2)), 1)</f>
        <v/>
      </c>
      <c r="N187" s="87">
        <f>IF(M187&gt;=72,"🟢 BEST FIT",IF(M187&gt;=52,"🟡 CONSIDER","🔴 MISMATCH"))</f>
        <v/>
      </c>
      <c r="O187" s="88" t="inlineStr">
        <is>
          <t>Any bachelor's degree</t>
        </is>
      </c>
      <c r="P187" s="93" t="inlineStr">
        <is>
          <t>Yes</t>
        </is>
      </c>
      <c r="Q187" s="88" t="inlineStr">
        <is>
          <t>Bank or NBFC sales entry; IIBF certification is optional</t>
        </is>
      </c>
      <c r="R187" s="88" t="inlineStr">
        <is>
          <t>ANY degree</t>
        </is>
      </c>
    </row>
    <row r="188" ht="30" customHeight="1" s="63">
      <c r="A188" s="76" t="n">
        <v>185</v>
      </c>
      <c r="B188" s="77" t="inlineStr">
        <is>
          <t>ESG Analyst</t>
        </is>
      </c>
      <c r="C188" s="78" t="inlineStr">
        <is>
          <t>Finance</t>
        </is>
      </c>
      <c r="D188" s="76" t="n">
        <v>55</v>
      </c>
      <c r="E188" s="76" t="n">
        <v>74</v>
      </c>
      <c r="F188" s="76" t="n">
        <v>78</v>
      </c>
      <c r="G188" s="76" t="n">
        <v>76</v>
      </c>
      <c r="H188" s="76" t="n">
        <v>70</v>
      </c>
      <c r="I188" s="76">
        <f>ABS('Student Calculator'!C30-D188)</f>
        <v/>
      </c>
      <c r="J188" s="76">
        <f>ABS('Student Calculator'!D30-E188)</f>
        <v/>
      </c>
      <c r="K188" s="76">
        <f>ABS('Student Calculator'!E30-F188)</f>
        <v/>
      </c>
      <c r="L188" s="76">
        <f>ABS('Student Calculator'!F30-G188)</f>
        <v/>
      </c>
      <c r="M188" s="79">
        <f>ROUND(MAX(0, 100 - (I188*0.25 + J188*0.2 + K188*0.25 + L188*0.2)), 1)</f>
        <v/>
      </c>
      <c r="N188" s="80">
        <f>IF(M188&gt;=72,"🟢 BEST FIT",IF(M188&gt;=52,"🟡 CONSIDER","🔴 MISMATCH"))</f>
        <v/>
      </c>
      <c r="O188" s="81" t="inlineStr">
        <is>
          <t>Any degree + ESG certification</t>
        </is>
      </c>
      <c r="P188" s="92" t="inlineStr">
        <is>
          <t>Yes</t>
        </is>
      </c>
      <c r="Q188" s="81" t="inlineStr">
        <is>
          <t>CFA ESG Investing certificate or GRI Standards certification; pivot from research or sustainability</t>
        </is>
      </c>
      <c r="R188" s="81" t="inlineStr">
        <is>
          <t>Economics, Env. Science, Commerce, Engineering, ANY degree</t>
        </is>
      </c>
    </row>
    <row r="189" ht="30" customHeight="1" s="63">
      <c r="A189" s="83" t="n">
        <v>186</v>
      </c>
      <c r="B189" s="84" t="inlineStr">
        <is>
          <t>Data Analyst</t>
        </is>
      </c>
      <c r="C189" s="85" t="inlineStr">
        <is>
          <t>Technology</t>
        </is>
      </c>
      <c r="D189" s="83" t="n">
        <v>50</v>
      </c>
      <c r="E189" s="83" t="n">
        <v>74</v>
      </c>
      <c r="F189" s="83" t="n">
        <v>66</v>
      </c>
      <c r="G189" s="83" t="n">
        <v>80</v>
      </c>
      <c r="H189" s="83" t="n">
        <v>68</v>
      </c>
      <c r="I189" s="83">
        <f>ABS('Student Calculator'!C30-D189)</f>
        <v/>
      </c>
      <c r="J189" s="83">
        <f>ABS('Student Calculator'!D30-E189)</f>
        <v/>
      </c>
      <c r="K189" s="83">
        <f>ABS('Student Calculator'!E30-F189)</f>
        <v/>
      </c>
      <c r="L189" s="83">
        <f>ABS('Student Calculator'!F30-G189)</f>
        <v/>
      </c>
      <c r="M189" s="86">
        <f>ROUND(MAX(0, 100 - (I189*0.25 + J189*0.2 + K189*0.25 + L189*0.2)), 1)</f>
        <v/>
      </c>
      <c r="N189" s="87">
        <f>IF(M189&gt;=72,"🟢 BEST FIT",IF(M189&gt;=52,"🟡 CONSIDER","🔴 MISMATCH"))</f>
        <v/>
      </c>
      <c r="O189" s="88" t="inlineStr">
        <is>
          <t>Any degree + SQL &amp; BI skills</t>
        </is>
      </c>
      <c r="P189" s="93" t="inlineStr">
        <is>
          <t>Yes</t>
        </is>
      </c>
      <c r="Q189" s="88" t="inlineStr">
        <is>
          <t>SQL + Excel + Power BI/Tableau portfolio — the single most common non-CS entry into tech</t>
        </is>
      </c>
      <c r="R189" s="88" t="inlineStr">
        <is>
          <t>ANY degree — Commerce, Economics, Statistics and Arts all work</t>
        </is>
      </c>
    </row>
    <row r="190" ht="30" customHeight="1" s="63">
      <c r="A190" s="76" t="n">
        <v>187</v>
      </c>
      <c r="B190" s="77" t="inlineStr">
        <is>
          <t>Business Intelligence Analyst</t>
        </is>
      </c>
      <c r="C190" s="78" t="inlineStr">
        <is>
          <t>Technology</t>
        </is>
      </c>
      <c r="D190" s="76" t="n">
        <v>50</v>
      </c>
      <c r="E190" s="76" t="n">
        <v>76</v>
      </c>
      <c r="F190" s="76" t="n">
        <v>66</v>
      </c>
      <c r="G190" s="76" t="n">
        <v>80</v>
      </c>
      <c r="H190" s="76" t="n">
        <v>70</v>
      </c>
      <c r="I190" s="76">
        <f>ABS('Student Calculator'!C30-D190)</f>
        <v/>
      </c>
      <c r="J190" s="76">
        <f>ABS('Student Calculator'!D30-E190)</f>
        <v/>
      </c>
      <c r="K190" s="76">
        <f>ABS('Student Calculator'!E30-F190)</f>
        <v/>
      </c>
      <c r="L190" s="76">
        <f>ABS('Student Calculator'!F30-G190)</f>
        <v/>
      </c>
      <c r="M190" s="79">
        <f>ROUND(MAX(0, 100 - (I190*0.25 + J190*0.2 + K190*0.25 + L190*0.2)), 1)</f>
        <v/>
      </c>
      <c r="N190" s="80">
        <f>IF(M190&gt;=72,"🟢 BEST FIT",IF(M190&gt;=52,"🟡 CONSIDER","🔴 MISMATCH"))</f>
        <v/>
      </c>
      <c r="O190" s="81" t="inlineStr">
        <is>
          <t>Any degree + BI tooling</t>
        </is>
      </c>
      <c r="P190" s="92" t="inlineStr">
        <is>
          <t>Yes</t>
        </is>
      </c>
      <c r="Q190" s="81" t="inlineStr">
        <is>
          <t>Power BI or Tableau certification; a natural pivot from data analyst or MIS roles</t>
        </is>
      </c>
      <c r="R190" s="81" t="inlineStr">
        <is>
          <t>ANY degree</t>
        </is>
      </c>
    </row>
    <row r="191" ht="30" customHeight="1" s="63">
      <c r="A191" s="83" t="n">
        <v>188</v>
      </c>
      <c r="B191" s="84" t="inlineStr">
        <is>
          <t>Data Engineer</t>
        </is>
      </c>
      <c r="C191" s="85" t="inlineStr">
        <is>
          <t>Technology</t>
        </is>
      </c>
      <c r="D191" s="83" t="n">
        <v>48</v>
      </c>
      <c r="E191" s="83" t="n">
        <v>76</v>
      </c>
      <c r="F191" s="83" t="n">
        <v>66</v>
      </c>
      <c r="G191" s="83" t="n">
        <v>80</v>
      </c>
      <c r="H191" s="83" t="n">
        <v>70</v>
      </c>
      <c r="I191" s="83">
        <f>ABS('Student Calculator'!C30-D191)</f>
        <v/>
      </c>
      <c r="J191" s="83">
        <f>ABS('Student Calculator'!D30-E191)</f>
        <v/>
      </c>
      <c r="K191" s="83">
        <f>ABS('Student Calculator'!E30-F191)</f>
        <v/>
      </c>
      <c r="L191" s="83">
        <f>ABS('Student Calculator'!F30-G191)</f>
        <v/>
      </c>
      <c r="M191" s="86">
        <f>ROUND(MAX(0, 100 - (I191*0.25 + J191*0.2 + K191*0.25 + L191*0.2)), 1)</f>
        <v/>
      </c>
      <c r="N191" s="87">
        <f>IF(M191&gt;=72,"🟢 BEST FIT",IF(M191&gt;=52,"🟡 CONSIDER","🔴 MISMATCH"))</f>
        <v/>
      </c>
      <c r="O191" s="88" t="inlineStr">
        <is>
          <t>B.Tech or any degree + pipeline skills</t>
        </is>
      </c>
      <c r="P191" s="93" t="inlineStr">
        <is>
          <t>Yes</t>
        </is>
      </c>
      <c r="Q191" s="88" t="inlineStr">
        <is>
          <t>Python/SQL/Spark plus a cloud certification; a common pivot from analyst or ETL support</t>
        </is>
      </c>
      <c r="R191" s="88" t="inlineStr">
        <is>
          <t>BCA, B.Sc, ANY degree with coding ability</t>
        </is>
      </c>
    </row>
    <row r="192" ht="30" customHeight="1" s="63">
      <c r="A192" s="76" t="n">
        <v>189</v>
      </c>
      <c r="B192" s="77" t="inlineStr">
        <is>
          <t>QA / Test Engineer</t>
        </is>
      </c>
      <c r="C192" s="78" t="inlineStr">
        <is>
          <t>Technology</t>
        </is>
      </c>
      <c r="D192" s="76" t="n">
        <v>48</v>
      </c>
      <c r="E192" s="76" t="n">
        <v>78</v>
      </c>
      <c r="F192" s="76" t="n">
        <v>62</v>
      </c>
      <c r="G192" s="76" t="n">
        <v>74</v>
      </c>
      <c r="H192" s="76" t="n">
        <v>66</v>
      </c>
      <c r="I192" s="76">
        <f>ABS('Student Calculator'!C30-D192)</f>
        <v/>
      </c>
      <c r="J192" s="76">
        <f>ABS('Student Calculator'!D30-E192)</f>
        <v/>
      </c>
      <c r="K192" s="76">
        <f>ABS('Student Calculator'!E30-F192)</f>
        <v/>
      </c>
      <c r="L192" s="76">
        <f>ABS('Student Calculator'!F30-G192)</f>
        <v/>
      </c>
      <c r="M192" s="79">
        <f>ROUND(MAX(0, 100 - (I192*0.25 + J192*0.2 + K192*0.25 + L192*0.2)), 1)</f>
        <v/>
      </c>
      <c r="N192" s="80">
        <f>IF(M192&gt;=72,"🟢 BEST FIT",IF(M192&gt;=52,"🟡 CONSIDER","🔴 MISMATCH"))</f>
        <v/>
      </c>
      <c r="O192" s="81" t="inlineStr">
        <is>
          <t>Any degree + testing skills</t>
        </is>
      </c>
      <c r="P192" s="92" t="inlineStr">
        <is>
          <t>Yes</t>
        </is>
      </c>
      <c r="Q192" s="81" t="inlineStr">
        <is>
          <t>ISTQB certification; manual QA is a well-worn no-CS-degree entry route into tech</t>
        </is>
      </c>
      <c r="R192" s="81" t="inlineStr">
        <is>
          <t>ANY degree</t>
        </is>
      </c>
    </row>
    <row r="193" ht="30" customHeight="1" s="63">
      <c r="A193" s="83" t="n">
        <v>190</v>
      </c>
      <c r="B193" s="84" t="inlineStr">
        <is>
          <t>Site Reliability Engineer</t>
        </is>
      </c>
      <c r="C193" s="85" t="inlineStr">
        <is>
          <t>Technology</t>
        </is>
      </c>
      <c r="D193" s="83" t="n">
        <v>48</v>
      </c>
      <c r="E193" s="83" t="n">
        <v>78</v>
      </c>
      <c r="F193" s="83" t="n">
        <v>66</v>
      </c>
      <c r="G193" s="83" t="n">
        <v>78</v>
      </c>
      <c r="H193" s="83" t="n">
        <v>70</v>
      </c>
      <c r="I193" s="83">
        <f>ABS('Student Calculator'!C30-D193)</f>
        <v/>
      </c>
      <c r="J193" s="83">
        <f>ABS('Student Calculator'!D30-E193)</f>
        <v/>
      </c>
      <c r="K193" s="83">
        <f>ABS('Student Calculator'!E30-F193)</f>
        <v/>
      </c>
      <c r="L193" s="83">
        <f>ABS('Student Calculator'!F30-G193)</f>
        <v/>
      </c>
      <c r="M193" s="86">
        <f>ROUND(MAX(0, 100 - (I193*0.25 + J193*0.2 + K193*0.25 + L193*0.2)), 1)</f>
        <v/>
      </c>
      <c r="N193" s="87">
        <f>IF(M193&gt;=72,"🟢 BEST FIT",IF(M193&gt;=52,"🟡 CONSIDER","🔴 MISMATCH"))</f>
        <v/>
      </c>
      <c r="O193" s="88" t="inlineStr">
        <is>
          <t>B.Tech or any degree + ops skills</t>
        </is>
      </c>
      <c r="P193" s="93" t="inlineStr">
        <is>
          <t>Yes</t>
        </is>
      </c>
      <c r="Q193" s="88" t="inlineStr">
        <is>
          <t>Linux and Kubernetes certification; pivot from sysadmin or DevOps</t>
        </is>
      </c>
      <c r="R193" s="88" t="inlineStr">
        <is>
          <t>BCA, B.Sc IT, ANY degree with certifications</t>
        </is>
      </c>
    </row>
    <row r="194" ht="30" customHeight="1" s="63">
      <c r="A194" s="76" t="n">
        <v>191</v>
      </c>
      <c r="B194" s="77" t="inlineStr">
        <is>
          <t>Salesforce / CRM Administrator</t>
        </is>
      </c>
      <c r="C194" s="78" t="inlineStr">
        <is>
          <t>Technology</t>
        </is>
      </c>
      <c r="D194" s="76" t="n">
        <v>50</v>
      </c>
      <c r="E194" s="76" t="n">
        <v>76</v>
      </c>
      <c r="F194" s="76" t="n">
        <v>64</v>
      </c>
      <c r="G194" s="76" t="n">
        <v>72</v>
      </c>
      <c r="H194" s="76" t="n">
        <v>68</v>
      </c>
      <c r="I194" s="76">
        <f>ABS('Student Calculator'!C30-D194)</f>
        <v/>
      </c>
      <c r="J194" s="76">
        <f>ABS('Student Calculator'!D30-E194)</f>
        <v/>
      </c>
      <c r="K194" s="76">
        <f>ABS('Student Calculator'!E30-F194)</f>
        <v/>
      </c>
      <c r="L194" s="76">
        <f>ABS('Student Calculator'!F30-G194)</f>
        <v/>
      </c>
      <c r="M194" s="79">
        <f>ROUND(MAX(0, 100 - (I194*0.25 + J194*0.2 + K194*0.25 + L194*0.2)), 1)</f>
        <v/>
      </c>
      <c r="N194" s="80">
        <f>IF(M194&gt;=72,"🟢 BEST FIT",IF(M194&gt;=52,"🟡 CONSIDER","🔴 MISMATCH"))</f>
        <v/>
      </c>
      <c r="O194" s="81" t="inlineStr">
        <is>
          <t>Any degree + Salesforce certification</t>
        </is>
      </c>
      <c r="P194" s="92" t="inlineStr">
        <is>
          <t>Yes</t>
        </is>
      </c>
      <c r="Q194" s="81" t="inlineStr">
        <is>
          <t>Salesforce Administrator certification — explicitly has no degree requirement</t>
        </is>
      </c>
      <c r="R194" s="81" t="inlineStr">
        <is>
          <t>ANY degree</t>
        </is>
      </c>
    </row>
    <row r="195" ht="30" customHeight="1" s="63">
      <c r="A195" s="83" t="n">
        <v>192</v>
      </c>
      <c r="B195" s="84" t="inlineStr">
        <is>
          <t>IT Support / Systems Administrator</t>
        </is>
      </c>
      <c r="C195" s="85" t="inlineStr">
        <is>
          <t>Technology</t>
        </is>
      </c>
      <c r="D195" s="83" t="n">
        <v>48</v>
      </c>
      <c r="E195" s="83" t="n">
        <v>74</v>
      </c>
      <c r="F195" s="83" t="n">
        <v>58</v>
      </c>
      <c r="G195" s="83" t="n">
        <v>68</v>
      </c>
      <c r="H195" s="83" t="n">
        <v>64</v>
      </c>
      <c r="I195" s="83">
        <f>ABS('Student Calculator'!C30-D195)</f>
        <v/>
      </c>
      <c r="J195" s="83">
        <f>ABS('Student Calculator'!D30-E195)</f>
        <v/>
      </c>
      <c r="K195" s="83">
        <f>ABS('Student Calculator'!E30-F195)</f>
        <v/>
      </c>
      <c r="L195" s="83">
        <f>ABS('Student Calculator'!F30-G195)</f>
        <v/>
      </c>
      <c r="M195" s="86">
        <f>ROUND(MAX(0, 100 - (I195*0.25 + J195*0.2 + K195*0.25 + L195*0.2)), 1)</f>
        <v/>
      </c>
      <c r="N195" s="87">
        <f>IF(M195&gt;=72,"🟢 BEST FIT",IF(M195&gt;=52,"🟡 CONSIDER","🔴 MISMATCH"))</f>
        <v/>
      </c>
      <c r="O195" s="88" t="inlineStr">
        <is>
          <t>BCA/B.Sc IT or any degree</t>
        </is>
      </c>
      <c r="P195" s="93" t="inlineStr">
        <is>
          <t>Yes</t>
        </is>
      </c>
      <c r="Q195" s="88" t="inlineStr">
        <is>
          <t>CompTIA A+/Network+ or RHCSA; helpdesk entry accepts any degree</t>
        </is>
      </c>
      <c r="R195" s="88" t="inlineStr">
        <is>
          <t>ANY degree</t>
        </is>
      </c>
    </row>
    <row r="196" ht="30" customHeight="1" s="63">
      <c r="A196" s="76" t="n">
        <v>193</v>
      </c>
      <c r="B196" s="77" t="inlineStr">
        <is>
          <t>Technical Support Engineer</t>
        </is>
      </c>
      <c r="C196" s="78" t="inlineStr">
        <is>
          <t>Technology</t>
        </is>
      </c>
      <c r="D196" s="76" t="n">
        <v>55</v>
      </c>
      <c r="E196" s="76" t="n">
        <v>74</v>
      </c>
      <c r="F196" s="76" t="n">
        <v>62</v>
      </c>
      <c r="G196" s="76" t="n">
        <v>72</v>
      </c>
      <c r="H196" s="76" t="n">
        <v>66</v>
      </c>
      <c r="I196" s="76">
        <f>ABS('Student Calculator'!C30-D196)</f>
        <v/>
      </c>
      <c r="J196" s="76">
        <f>ABS('Student Calculator'!D30-E196)</f>
        <v/>
      </c>
      <c r="K196" s="76">
        <f>ABS('Student Calculator'!E30-F196)</f>
        <v/>
      </c>
      <c r="L196" s="76">
        <f>ABS('Student Calculator'!F30-G196)</f>
        <v/>
      </c>
      <c r="M196" s="79">
        <f>ROUND(MAX(0, 100 - (I196*0.25 + J196*0.2 + K196*0.25 + L196*0.2)), 1)</f>
        <v/>
      </c>
      <c r="N196" s="80">
        <f>IF(M196&gt;=72,"🟢 BEST FIT",IF(M196&gt;=52,"🟡 CONSIDER","🔴 MISMATCH"))</f>
        <v/>
      </c>
      <c r="O196" s="81" t="inlineStr">
        <is>
          <t>Any degree + product literacy</t>
        </is>
      </c>
      <c r="P196" s="92" t="inlineStr">
        <is>
          <t>Yes</t>
        </is>
      </c>
      <c r="Q196" s="81" t="inlineStr">
        <is>
          <t>Product certification; a very common non-CS entry into product companies</t>
        </is>
      </c>
      <c r="R196" s="81" t="inlineStr">
        <is>
          <t>ANY degree</t>
        </is>
      </c>
    </row>
    <row r="197" ht="30" customHeight="1" s="63">
      <c r="A197" s="83" t="n">
        <v>194</v>
      </c>
      <c r="B197" s="84" t="inlineStr">
        <is>
          <t>Solutions / Pre-Sales Engineer</t>
        </is>
      </c>
      <c r="C197" s="85" t="inlineStr">
        <is>
          <t>Technology</t>
        </is>
      </c>
      <c r="D197" s="83" t="n">
        <v>62</v>
      </c>
      <c r="E197" s="83" t="n">
        <v>72</v>
      </c>
      <c r="F197" s="83" t="n">
        <v>68</v>
      </c>
      <c r="G197" s="83" t="n">
        <v>76</v>
      </c>
      <c r="H197" s="83" t="n">
        <v>70</v>
      </c>
      <c r="I197" s="83">
        <f>ABS('Student Calculator'!C30-D197)</f>
        <v/>
      </c>
      <c r="J197" s="83">
        <f>ABS('Student Calculator'!D30-E197)</f>
        <v/>
      </c>
      <c r="K197" s="83">
        <f>ABS('Student Calculator'!E30-F197)</f>
        <v/>
      </c>
      <c r="L197" s="83">
        <f>ABS('Student Calculator'!F30-G197)</f>
        <v/>
      </c>
      <c r="M197" s="86">
        <f>ROUND(MAX(0, 100 - (I197*0.25 + J197*0.2 + K197*0.25 + L197*0.2)), 1)</f>
        <v/>
      </c>
      <c r="N197" s="87">
        <f>IF(M197&gt;=72,"🟢 BEST FIT",IF(M197&gt;=52,"🟡 CONSIDER","🔴 MISMATCH"))</f>
        <v/>
      </c>
      <c r="O197" s="88" t="inlineStr">
        <is>
          <t>B.Tech or any degree + product depth</t>
        </is>
      </c>
      <c r="P197" s="93" t="inlineStr">
        <is>
          <t>Yes</t>
        </is>
      </c>
      <c r="Q197" s="88" t="inlineStr">
        <is>
          <t>Pivot from support, QA or sales once you hold real technical product knowledge</t>
        </is>
      </c>
      <c r="R197" s="88" t="inlineStr">
        <is>
          <t>BE, BCA, ANY degree</t>
        </is>
      </c>
    </row>
    <row r="198" ht="30" customHeight="1" s="63">
      <c r="A198" s="76" t="n">
        <v>195</v>
      </c>
      <c r="B198" s="77" t="inlineStr">
        <is>
          <t>Scrum Master / Agile Coach</t>
        </is>
      </c>
      <c r="C198" s="78" t="inlineStr">
        <is>
          <t>Technology</t>
        </is>
      </c>
      <c r="D198" s="76" t="n">
        <v>62</v>
      </c>
      <c r="E198" s="76" t="n">
        <v>74</v>
      </c>
      <c r="F198" s="76" t="n">
        <v>72</v>
      </c>
      <c r="G198" s="76" t="n">
        <v>72</v>
      </c>
      <c r="H198" s="76" t="n">
        <v>70</v>
      </c>
      <c r="I198" s="76">
        <f>ABS('Student Calculator'!C30-D198)</f>
        <v/>
      </c>
      <c r="J198" s="76">
        <f>ABS('Student Calculator'!D30-E198)</f>
        <v/>
      </c>
      <c r="K198" s="76">
        <f>ABS('Student Calculator'!E30-F198)</f>
        <v/>
      </c>
      <c r="L198" s="76">
        <f>ABS('Student Calculator'!F30-G198)</f>
        <v/>
      </c>
      <c r="M198" s="79">
        <f>ROUND(MAX(0, 100 - (I198*0.25 + J198*0.2 + K198*0.25 + L198*0.2)), 1)</f>
        <v/>
      </c>
      <c r="N198" s="80">
        <f>IF(M198&gt;=72,"🟢 BEST FIT",IF(M198&gt;=52,"🟡 CONSIDER","🔴 MISMATCH"))</f>
        <v/>
      </c>
      <c r="O198" s="81" t="inlineStr">
        <is>
          <t>Any degree + CSM or PSM</t>
        </is>
      </c>
      <c r="P198" s="92" t="inlineStr">
        <is>
          <t>Yes</t>
        </is>
      </c>
      <c r="Q198" s="81" t="inlineStr">
        <is>
          <t>CSM or PSM certification — there is no degree prerequisite whatsoever</t>
        </is>
      </c>
      <c r="R198" s="81" t="inlineStr">
        <is>
          <t>ANY degree</t>
        </is>
      </c>
    </row>
    <row r="199" ht="30" customHeight="1" s="63">
      <c r="A199" s="83" t="n">
        <v>196</v>
      </c>
      <c r="B199" s="84" t="inlineStr">
        <is>
          <t>Technical Program Manager</t>
        </is>
      </c>
      <c r="C199" s="85" t="inlineStr">
        <is>
          <t>Technology</t>
        </is>
      </c>
      <c r="D199" s="83" t="n">
        <v>55</v>
      </c>
      <c r="E199" s="83" t="n">
        <v>76</v>
      </c>
      <c r="F199" s="83" t="n">
        <v>70</v>
      </c>
      <c r="G199" s="83" t="n">
        <v>78</v>
      </c>
      <c r="H199" s="83" t="n">
        <v>72</v>
      </c>
      <c r="I199" s="83">
        <f>ABS('Student Calculator'!C30-D199)</f>
        <v/>
      </c>
      <c r="J199" s="83">
        <f>ABS('Student Calculator'!D30-E199)</f>
        <v/>
      </c>
      <c r="K199" s="83">
        <f>ABS('Student Calculator'!E30-F199)</f>
        <v/>
      </c>
      <c r="L199" s="83">
        <f>ABS('Student Calculator'!F30-G199)</f>
        <v/>
      </c>
      <c r="M199" s="86">
        <f>ROUND(MAX(0, 100 - (I199*0.25 + J199*0.2 + K199*0.25 + L199*0.2)), 1)</f>
        <v/>
      </c>
      <c r="N199" s="87">
        <f>IF(M199&gt;=72,"🟢 BEST FIT",IF(M199&gt;=52,"🟡 CONSIDER","🔴 MISMATCH"))</f>
        <v/>
      </c>
      <c r="O199" s="88" t="inlineStr">
        <is>
          <t>B.Tech or any degree + delivery record</t>
        </is>
      </c>
      <c r="P199" s="93" t="inlineStr">
        <is>
          <t>Yes</t>
        </is>
      </c>
      <c r="Q199" s="88" t="inlineStr">
        <is>
          <t>Pivot from engineering, QA or program management</t>
        </is>
      </c>
      <c r="R199" s="88" t="inlineStr">
        <is>
          <t>BE, BCA, ANY degree</t>
        </is>
      </c>
    </row>
    <row r="200" ht="30" customHeight="1" s="63">
      <c r="A200" s="76" t="n">
        <v>197</v>
      </c>
      <c r="B200" s="77" t="inlineStr">
        <is>
          <t>No-Code / Automation Specialist</t>
        </is>
      </c>
      <c r="C200" s="78" t="inlineStr">
        <is>
          <t>Technology</t>
        </is>
      </c>
      <c r="D200" s="76" t="n">
        <v>52</v>
      </c>
      <c r="E200" s="76" t="n">
        <v>74</v>
      </c>
      <c r="F200" s="76" t="n">
        <v>68</v>
      </c>
      <c r="G200" s="76" t="n">
        <v>76</v>
      </c>
      <c r="H200" s="76" t="n">
        <v>66</v>
      </c>
      <c r="I200" s="76">
        <f>ABS('Student Calculator'!C30-D200)</f>
        <v/>
      </c>
      <c r="J200" s="76">
        <f>ABS('Student Calculator'!D30-E200)</f>
        <v/>
      </c>
      <c r="K200" s="76">
        <f>ABS('Student Calculator'!E30-F200)</f>
        <v/>
      </c>
      <c r="L200" s="76">
        <f>ABS('Student Calculator'!F30-G200)</f>
        <v/>
      </c>
      <c r="M200" s="79">
        <f>ROUND(MAX(0, 100 - (I200*0.25 + J200*0.2 + K200*0.25 + L200*0.2)), 1)</f>
        <v/>
      </c>
      <c r="N200" s="80">
        <f>IF(M200&gt;=72,"🟢 BEST FIT",IF(M200&gt;=52,"🟡 CONSIDER","🔴 MISMATCH"))</f>
        <v/>
      </c>
      <c r="O200" s="81" t="inlineStr">
        <is>
          <t>Any bachelor's degree</t>
        </is>
      </c>
      <c r="P200" s="92" t="inlineStr">
        <is>
          <t>Yes</t>
        </is>
      </c>
      <c r="Q200" s="81" t="inlineStr">
        <is>
          <t>Zapier, Make, Airtable and Power Automate certifications plus a portfolio of built workflows</t>
        </is>
      </c>
      <c r="R200" s="81" t="inlineStr">
        <is>
          <t>ANY degree</t>
        </is>
      </c>
    </row>
    <row r="201" ht="30" customHeight="1" s="63">
      <c r="A201" s="83" t="n">
        <v>198</v>
      </c>
      <c r="B201" s="84" t="inlineStr">
        <is>
          <t>Ethical Hacker / Penetration Tester</t>
        </is>
      </c>
      <c r="C201" s="85" t="inlineStr">
        <is>
          <t>Technology</t>
        </is>
      </c>
      <c r="D201" s="83" t="n">
        <v>52</v>
      </c>
      <c r="E201" s="83" t="n">
        <v>72</v>
      </c>
      <c r="F201" s="83" t="n">
        <v>74</v>
      </c>
      <c r="G201" s="83" t="n">
        <v>80</v>
      </c>
      <c r="H201" s="83" t="n">
        <v>68</v>
      </c>
      <c r="I201" s="83">
        <f>ABS('Student Calculator'!C30-D201)</f>
        <v/>
      </c>
      <c r="J201" s="83">
        <f>ABS('Student Calculator'!D30-E201)</f>
        <v/>
      </c>
      <c r="K201" s="83">
        <f>ABS('Student Calculator'!E30-F201)</f>
        <v/>
      </c>
      <c r="L201" s="83">
        <f>ABS('Student Calculator'!F30-G201)</f>
        <v/>
      </c>
      <c r="M201" s="86">
        <f>ROUND(MAX(0, 100 - (I201*0.25 + J201*0.2 + K201*0.25 + L201*0.2)), 1)</f>
        <v/>
      </c>
      <c r="N201" s="87">
        <f>IF(M201&gt;=72,"🟢 BEST FIT",IF(M201&gt;=52,"🟡 CONSIDER","🔴 MISMATCH"))</f>
        <v/>
      </c>
      <c r="O201" s="88" t="inlineStr">
        <is>
          <t>Any degree + OSCP or CEH</t>
        </is>
      </c>
      <c r="P201" s="93" t="inlineStr">
        <is>
          <t>Yes</t>
        </is>
      </c>
      <c r="Q201" s="88" t="inlineStr">
        <is>
          <t>OSCP or CEH; CTF placements and bug-bounty payouts outweigh any degree</t>
        </is>
      </c>
      <c r="R201" s="88" t="inlineStr">
        <is>
          <t>ANY degree with a security portfolio</t>
        </is>
      </c>
    </row>
    <row r="202" ht="30" customHeight="1" s="63">
      <c r="A202" s="76" t="n">
        <v>199</v>
      </c>
      <c r="B202" s="77" t="inlineStr">
        <is>
          <t>AI Solutions / Prompt Engineer</t>
        </is>
      </c>
      <c r="C202" s="78" t="inlineStr">
        <is>
          <t>Technology</t>
        </is>
      </c>
      <c r="D202" s="76" t="n">
        <v>55</v>
      </c>
      <c r="E202" s="76" t="n">
        <v>72</v>
      </c>
      <c r="F202" s="76" t="n">
        <v>72</v>
      </c>
      <c r="G202" s="76" t="n">
        <v>80</v>
      </c>
      <c r="H202" s="76" t="n">
        <v>68</v>
      </c>
      <c r="I202" s="76">
        <f>ABS('Student Calculator'!C30-D202)</f>
        <v/>
      </c>
      <c r="J202" s="76">
        <f>ABS('Student Calculator'!D30-E202)</f>
        <v/>
      </c>
      <c r="K202" s="76">
        <f>ABS('Student Calculator'!E30-F202)</f>
        <v/>
      </c>
      <c r="L202" s="76">
        <f>ABS('Student Calculator'!F30-G202)</f>
        <v/>
      </c>
      <c r="M202" s="79">
        <f>ROUND(MAX(0, 100 - (I202*0.25 + J202*0.2 + K202*0.25 + L202*0.2)), 1)</f>
        <v/>
      </c>
      <c r="N202" s="80">
        <f>IF(M202&gt;=72,"🟢 BEST FIT",IF(M202&gt;=52,"🟡 CONSIDER","🔴 MISMATCH"))</f>
        <v/>
      </c>
      <c r="O202" s="81" t="inlineStr">
        <is>
          <t>Any degree + AI tooling fluency</t>
        </is>
      </c>
      <c r="P202" s="92" t="inlineStr">
        <is>
          <t>Yes</t>
        </is>
      </c>
      <c r="Q202" s="81" t="inlineStr">
        <is>
          <t>A portfolio of built AI workflows; genuinely no degree gate — the field is too new to have one</t>
        </is>
      </c>
      <c r="R202" s="81" t="inlineStr">
        <is>
          <t>ANY degree</t>
        </is>
      </c>
    </row>
    <row r="203" ht="30" customHeight="1" s="63">
      <c r="A203" s="83" t="n">
        <v>200</v>
      </c>
      <c r="B203" s="84" t="inlineStr">
        <is>
          <t>Digital Product Designer</t>
        </is>
      </c>
      <c r="C203" s="85" t="inlineStr">
        <is>
          <t>Design</t>
        </is>
      </c>
      <c r="D203" s="83" t="n">
        <v>62</v>
      </c>
      <c r="E203" s="83" t="n">
        <v>70</v>
      </c>
      <c r="F203" s="83" t="n">
        <v>74</v>
      </c>
      <c r="G203" s="83" t="n">
        <v>78</v>
      </c>
      <c r="H203" s="83" t="n">
        <v>68</v>
      </c>
      <c r="I203" s="83">
        <f>ABS('Student Calculator'!C30-D203)</f>
        <v/>
      </c>
      <c r="J203" s="83">
        <f>ABS('Student Calculator'!D30-E203)</f>
        <v/>
      </c>
      <c r="K203" s="83">
        <f>ABS('Student Calculator'!E30-F203)</f>
        <v/>
      </c>
      <c r="L203" s="83">
        <f>ABS('Student Calculator'!F30-G203)</f>
        <v/>
      </c>
      <c r="M203" s="86">
        <f>ROUND(MAX(0, 100 - (I203*0.25 + J203*0.2 + K203*0.25 + L203*0.2)), 1)</f>
        <v/>
      </c>
      <c r="N203" s="87">
        <f>IF(M203&gt;=72,"🟢 BEST FIT",IF(M203&gt;=52,"🟡 CONSIDER","🔴 MISMATCH"))</f>
        <v/>
      </c>
      <c r="O203" s="88" t="inlineStr">
        <is>
          <t>B.Des or any degree + portfolio</t>
        </is>
      </c>
      <c r="P203" s="93" t="inlineStr">
        <is>
          <t>Yes</t>
        </is>
      </c>
      <c r="Q203" s="88" t="inlineStr">
        <is>
          <t>Portfolio-first; a UX bootcamp, or NID/IIT-IDC PG which is open to any graduate</t>
        </is>
      </c>
      <c r="R203" s="88" t="inlineStr">
        <is>
          <t>ANY degree</t>
        </is>
      </c>
    </row>
    <row r="204" ht="30" customHeight="1" s="63">
      <c r="A204" s="76" t="n">
        <v>201</v>
      </c>
      <c r="B204" s="77" t="inlineStr">
        <is>
          <t>Clinical Research Associate</t>
        </is>
      </c>
      <c r="C204" s="78" t="inlineStr">
        <is>
          <t>Research</t>
        </is>
      </c>
      <c r="D204" s="76" t="n">
        <v>55</v>
      </c>
      <c r="E204" s="76" t="n">
        <v>76</v>
      </c>
      <c r="F204" s="76" t="n">
        <v>70</v>
      </c>
      <c r="G204" s="76" t="n">
        <v>74</v>
      </c>
      <c r="H204" s="76" t="n">
        <v>70</v>
      </c>
      <c r="I204" s="76">
        <f>ABS('Student Calculator'!C30-D204)</f>
        <v/>
      </c>
      <c r="J204" s="76">
        <f>ABS('Student Calculator'!D30-E204)</f>
        <v/>
      </c>
      <c r="K204" s="76">
        <f>ABS('Student Calculator'!E30-F204)</f>
        <v/>
      </c>
      <c r="L204" s="76">
        <f>ABS('Student Calculator'!F30-G204)</f>
        <v/>
      </c>
      <c r="M204" s="79">
        <f>ROUND(MAX(0, 100 - (I204*0.25 + J204*0.2 + K204*0.25 + L204*0.2)), 1)</f>
        <v/>
      </c>
      <c r="N204" s="80">
        <f>IF(M204&gt;=72,"🟢 BEST FIT",IF(M204&gt;=52,"🟡 CONSIDER","🔴 MISMATCH"))</f>
        <v/>
      </c>
      <c r="O204" s="81" t="inlineStr">
        <is>
          <t>B.Sc/B.Pharm + PG Dip Clinical Research</t>
        </is>
      </c>
      <c r="P204" s="92" t="inlineStr">
        <is>
          <t>Yes</t>
        </is>
      </c>
      <c r="Q204" s="81" t="inlineStr">
        <is>
          <t>PG Diploma in Clinical Research — open to any life-science, pharmacy or nursing graduate</t>
        </is>
      </c>
      <c r="R204" s="81" t="inlineStr">
        <is>
          <t>B.Sc, B.Pharm, BPT, BDS, B.Sc Nursing, any life science</t>
        </is>
      </c>
    </row>
    <row r="205" ht="30" customHeight="1" s="63">
      <c r="A205" s="83" t="n">
        <v>202</v>
      </c>
      <c r="B205" s="84" t="inlineStr">
        <is>
          <t>Pharmacovigilance Associate</t>
        </is>
      </c>
      <c r="C205" s="85" t="inlineStr">
        <is>
          <t>Research</t>
        </is>
      </c>
      <c r="D205" s="83" t="n">
        <v>48</v>
      </c>
      <c r="E205" s="83" t="n">
        <v>78</v>
      </c>
      <c r="F205" s="83" t="n">
        <v>66</v>
      </c>
      <c r="G205" s="83" t="n">
        <v>74</v>
      </c>
      <c r="H205" s="83" t="n">
        <v>68</v>
      </c>
      <c r="I205" s="83">
        <f>ABS('Student Calculator'!C30-D205)</f>
        <v/>
      </c>
      <c r="J205" s="83">
        <f>ABS('Student Calculator'!D30-E205)</f>
        <v/>
      </c>
      <c r="K205" s="83">
        <f>ABS('Student Calculator'!E30-F205)</f>
        <v/>
      </c>
      <c r="L205" s="83">
        <f>ABS('Student Calculator'!F30-G205)</f>
        <v/>
      </c>
      <c r="M205" s="86">
        <f>ROUND(MAX(0, 100 - (I205*0.25 + J205*0.2 + K205*0.25 + L205*0.2)), 1)</f>
        <v/>
      </c>
      <c r="N205" s="87">
        <f>IF(M205&gt;=72,"🟢 BEST FIT",IF(M205&gt;=52,"🟡 CONSIDER","🔴 MISMATCH"))</f>
        <v/>
      </c>
      <c r="O205" s="88" t="inlineStr">
        <is>
          <t>B.Pharm/B.Sc + PV certification</t>
        </is>
      </c>
      <c r="P205" s="93" t="inlineStr">
        <is>
          <t>Yes</t>
        </is>
      </c>
      <c r="Q205" s="88" t="inlineStr">
        <is>
          <t>PG Diploma in Pharmacovigilance — open to pharmacy, life-science and nursing graduates</t>
        </is>
      </c>
      <c r="R205" s="88" t="inlineStr">
        <is>
          <t>B.Pharm, B.Sc Biology, BDS, B.Sc Nursing</t>
        </is>
      </c>
    </row>
    <row r="206" ht="30" customHeight="1" s="63">
      <c r="A206" s="76" t="n">
        <v>203</v>
      </c>
      <c r="B206" s="77" t="inlineStr">
        <is>
          <t>Medical Writer</t>
        </is>
      </c>
      <c r="C206" s="78" t="inlineStr">
        <is>
          <t>Media</t>
        </is>
      </c>
      <c r="D206" s="76" t="n">
        <v>48</v>
      </c>
      <c r="E206" s="76" t="n">
        <v>76</v>
      </c>
      <c r="F206" s="76" t="n">
        <v>70</v>
      </c>
      <c r="G206" s="76" t="n">
        <v>80</v>
      </c>
      <c r="H206" s="76" t="n">
        <v>68</v>
      </c>
      <c r="I206" s="76">
        <f>ABS('Student Calculator'!C30-D206)</f>
        <v/>
      </c>
      <c r="J206" s="76">
        <f>ABS('Student Calculator'!D30-E206)</f>
        <v/>
      </c>
      <c r="K206" s="76">
        <f>ABS('Student Calculator'!E30-F206)</f>
        <v/>
      </c>
      <c r="L206" s="76">
        <f>ABS('Student Calculator'!F30-G206)</f>
        <v/>
      </c>
      <c r="M206" s="79">
        <f>ROUND(MAX(0, 100 - (I206*0.25 + J206*0.2 + K206*0.25 + L206*0.2)), 1)</f>
        <v/>
      </c>
      <c r="N206" s="80">
        <f>IF(M206&gt;=72,"🟢 BEST FIT",IF(M206&gt;=52,"🟡 CONSIDER","🔴 MISMATCH"))</f>
        <v/>
      </c>
      <c r="O206" s="81" t="inlineStr">
        <is>
          <t>Life-science degree + writing samples</t>
        </is>
      </c>
      <c r="P206" s="92" t="inlineStr">
        <is>
          <t>Yes</t>
        </is>
      </c>
      <c r="Q206" s="81" t="inlineStr">
        <is>
          <t>Medical writing certification (AMWA/ISMPP); open to B.Pharm, B.Sc, BDS, BPT and MBBS graduates</t>
        </is>
      </c>
      <c r="R206" s="81" t="inlineStr">
        <is>
          <t>B.Pharm, B.Sc, BDS, MBBS, BPT</t>
        </is>
      </c>
    </row>
    <row r="207" ht="30" customHeight="1" s="63">
      <c r="A207" s="83" t="n">
        <v>204</v>
      </c>
      <c r="B207" s="84" t="inlineStr">
        <is>
          <t>Medical Coder / Health Information Manager</t>
        </is>
      </c>
      <c r="C207" s="85" t="inlineStr">
        <is>
          <t>Medicine</t>
        </is>
      </c>
      <c r="D207" s="83" t="n">
        <v>48</v>
      </c>
      <c r="E207" s="83" t="n">
        <v>78</v>
      </c>
      <c r="F207" s="83" t="n">
        <v>60</v>
      </c>
      <c r="G207" s="83" t="n">
        <v>74</v>
      </c>
      <c r="H207" s="83" t="n">
        <v>66</v>
      </c>
      <c r="I207" s="83">
        <f>ABS('Student Calculator'!C30-D207)</f>
        <v/>
      </c>
      <c r="J207" s="83">
        <f>ABS('Student Calculator'!D30-E207)</f>
        <v/>
      </c>
      <c r="K207" s="83">
        <f>ABS('Student Calculator'!E30-F207)</f>
        <v/>
      </c>
      <c r="L207" s="83">
        <f>ABS('Student Calculator'!F30-G207)</f>
        <v/>
      </c>
      <c r="M207" s="86">
        <f>ROUND(MAX(0, 100 - (I207*0.25 + J207*0.2 + K207*0.25 + L207*0.2)), 1)</f>
        <v/>
      </c>
      <c r="N207" s="87">
        <f>IF(M207&gt;=72,"🟢 BEST FIT",IF(M207&gt;=52,"🟡 CONSIDER","🔴 MISMATCH"))</f>
        <v/>
      </c>
      <c r="O207" s="88" t="inlineStr">
        <is>
          <t>Any life-science degree + CPC</t>
        </is>
      </c>
      <c r="P207" s="93" t="inlineStr">
        <is>
          <t>Yes</t>
        </is>
      </c>
      <c r="Q207" s="88" t="inlineStr">
        <is>
          <t>CPC (AAPC) or CCS certification — a very well-travelled route for B.Sc and nursing graduates</t>
        </is>
      </c>
      <c r="R207" s="88" t="inlineStr">
        <is>
          <t>B.Sc, B.Pharm, BPT, B.Sc Nursing, any life science</t>
        </is>
      </c>
    </row>
    <row r="208" ht="30" customHeight="1" s="63">
      <c r="A208" s="76" t="n">
        <v>205</v>
      </c>
      <c r="B208" s="77" t="inlineStr">
        <is>
          <t>Hospital Administrator</t>
        </is>
      </c>
      <c r="C208" s="78" t="inlineStr">
        <is>
          <t>Medicine</t>
        </is>
      </c>
      <c r="D208" s="76" t="n">
        <v>60</v>
      </c>
      <c r="E208" s="76" t="n">
        <v>74</v>
      </c>
      <c r="F208" s="76" t="n">
        <v>68</v>
      </c>
      <c r="G208" s="76" t="n">
        <v>70</v>
      </c>
      <c r="H208" s="76" t="n">
        <v>70</v>
      </c>
      <c r="I208" s="76">
        <f>ABS('Student Calculator'!C30-D208)</f>
        <v/>
      </c>
      <c r="J208" s="76">
        <f>ABS('Student Calculator'!D30-E208)</f>
        <v/>
      </c>
      <c r="K208" s="76">
        <f>ABS('Student Calculator'!E30-F208)</f>
        <v/>
      </c>
      <c r="L208" s="76">
        <f>ABS('Student Calculator'!F30-G208)</f>
        <v/>
      </c>
      <c r="M208" s="79">
        <f>ROUND(MAX(0, 100 - (I208*0.25 + J208*0.2 + K208*0.25 + L208*0.2)), 1)</f>
        <v/>
      </c>
      <c r="N208" s="80">
        <f>IF(M208&gt;=72,"🟢 BEST FIT",IF(M208&gt;=52,"🟡 CONSIDER","🔴 MISMATCH"))</f>
        <v/>
      </c>
      <c r="O208" s="81" t="inlineStr">
        <is>
          <t>Any degree + MHA / MBA Healthcare</t>
        </is>
      </c>
      <c r="P208" s="92" t="inlineStr">
        <is>
          <t>Yes</t>
        </is>
      </c>
      <c r="Q208" s="81" t="inlineStr">
        <is>
          <t>MHA or MBA Hospital Management — open to ANY graduate, not only MBBS holders</t>
        </is>
      </c>
      <c r="R208" s="81" t="inlineStr">
        <is>
          <t>ANY degree; MBBS, BDS, nursing and B.Com are all common</t>
        </is>
      </c>
    </row>
    <row r="209" ht="30" customHeight="1" s="63">
      <c r="A209" s="83" t="n">
        <v>206</v>
      </c>
      <c r="B209" s="84" t="inlineStr">
        <is>
          <t>Medical Device Sales Specialist</t>
        </is>
      </c>
      <c r="C209" s="85" t="inlineStr">
        <is>
          <t>Medicine</t>
        </is>
      </c>
      <c r="D209" s="83" t="n">
        <v>62</v>
      </c>
      <c r="E209" s="83" t="n">
        <v>70</v>
      </c>
      <c r="F209" s="83" t="n">
        <v>64</v>
      </c>
      <c r="G209" s="83" t="n">
        <v>70</v>
      </c>
      <c r="H209" s="83" t="n">
        <v>66</v>
      </c>
      <c r="I209" s="83">
        <f>ABS('Student Calculator'!C30-D209)</f>
        <v/>
      </c>
      <c r="J209" s="83">
        <f>ABS('Student Calculator'!D30-E209)</f>
        <v/>
      </c>
      <c r="K209" s="83">
        <f>ABS('Student Calculator'!E30-F209)</f>
        <v/>
      </c>
      <c r="L209" s="83">
        <f>ABS('Student Calculator'!F30-G209)</f>
        <v/>
      </c>
      <c r="M209" s="86">
        <f>ROUND(MAX(0, 100 - (I209*0.25 + J209*0.2 + K209*0.25 + L209*0.2)), 1)</f>
        <v/>
      </c>
      <c r="N209" s="87">
        <f>IF(M209&gt;=72,"🟢 BEST FIT",IF(M209&gt;=52,"🟡 CONSIDER","🔴 MISMATCH"))</f>
        <v/>
      </c>
      <c r="O209" s="88" t="inlineStr">
        <is>
          <t>B.Sc/B.Pharm or any degree</t>
        </is>
      </c>
      <c r="P209" s="93" t="inlineStr">
        <is>
          <t>Yes</t>
        </is>
      </c>
      <c r="Q209" s="88" t="inlineStr">
        <is>
          <t>Pharma or device field-sales entry; a science background is preferred but not mandatory</t>
        </is>
      </c>
      <c r="R209" s="88" t="inlineStr">
        <is>
          <t>B.Sc, B.Pharm, BPT, ANY degree</t>
        </is>
      </c>
    </row>
    <row r="210" ht="30" customHeight="1" s="63">
      <c r="A210" s="76" t="n">
        <v>207</v>
      </c>
      <c r="B210" s="77" t="inlineStr">
        <is>
          <t>Genetic Counsellor</t>
        </is>
      </c>
      <c r="C210" s="78" t="inlineStr">
        <is>
          <t>Medicine</t>
        </is>
      </c>
      <c r="D210" s="76" t="n">
        <v>62</v>
      </c>
      <c r="E210" s="76" t="n">
        <v>74</v>
      </c>
      <c r="F210" s="76" t="n">
        <v>76</v>
      </c>
      <c r="G210" s="76" t="n">
        <v>76</v>
      </c>
      <c r="H210" s="76" t="n">
        <v>72</v>
      </c>
      <c r="I210" s="76">
        <f>ABS('Student Calculator'!C30-D210)</f>
        <v/>
      </c>
      <c r="J210" s="76">
        <f>ABS('Student Calculator'!D30-E210)</f>
        <v/>
      </c>
      <c r="K210" s="76">
        <f>ABS('Student Calculator'!E30-F210)</f>
        <v/>
      </c>
      <c r="L210" s="76">
        <f>ABS('Student Calculator'!F30-G210)</f>
        <v/>
      </c>
      <c r="M210" s="79">
        <f>ROUND(MAX(0, 100 - (I210*0.25 + J210*0.2 + K210*0.25 + L210*0.2)), 1)</f>
        <v/>
      </c>
      <c r="N210" s="80">
        <f>IF(M210&gt;=72,"🟢 BEST FIT",IF(M210&gt;=52,"🟡 CONSIDER","🔴 MISMATCH"))</f>
        <v/>
      </c>
      <c r="O210" s="81" t="inlineStr">
        <is>
          <t>B.Sc Genetics/Bio → M.Sc Genetic Counselling</t>
        </is>
      </c>
      <c r="P210" s="90" t="inlineStr">
        <is>
          <t>Partly</t>
        </is>
      </c>
      <c r="Q210" s="81" t="inlineStr">
        <is>
          <t>M.Sc Genetic Counselling (Kamineni, Manipal) — open to life-science and psychology graduates</t>
        </is>
      </c>
      <c r="R210" s="81" t="inlineStr">
        <is>
          <t>B.Sc Biology/Biotech/Genetics, Psychology, nursing</t>
        </is>
      </c>
    </row>
    <row r="211" ht="30" customHeight="1" s="63">
      <c r="A211" s="83" t="n">
        <v>208</v>
      </c>
      <c r="B211" s="84" t="inlineStr">
        <is>
          <t>Speech &amp; Language Therapist</t>
        </is>
      </c>
      <c r="C211" s="85" t="inlineStr">
        <is>
          <t>Medicine</t>
        </is>
      </c>
      <c r="D211" s="83" t="n">
        <v>66</v>
      </c>
      <c r="E211" s="83" t="n">
        <v>72</v>
      </c>
      <c r="F211" s="83" t="n">
        <v>78</v>
      </c>
      <c r="G211" s="83" t="n">
        <v>76</v>
      </c>
      <c r="H211" s="83" t="n">
        <v>70</v>
      </c>
      <c r="I211" s="83">
        <f>ABS('Student Calculator'!C30-D211)</f>
        <v/>
      </c>
      <c r="J211" s="83">
        <f>ABS('Student Calculator'!D30-E211)</f>
        <v/>
      </c>
      <c r="K211" s="83">
        <f>ABS('Student Calculator'!E30-F211)</f>
        <v/>
      </c>
      <c r="L211" s="83">
        <f>ABS('Student Calculator'!F30-G211)</f>
        <v/>
      </c>
      <c r="M211" s="86">
        <f>ROUND(MAX(0, 100 - (I211*0.25 + J211*0.2 + K211*0.25 + L211*0.2)), 1)</f>
        <v/>
      </c>
      <c r="N211" s="87">
        <f>IF(M211&gt;=72,"🟢 BEST FIT",IF(M211&gt;=52,"🟡 CONSIDER","🔴 MISMATCH"))</f>
        <v/>
      </c>
      <c r="O211" s="88" t="inlineStr">
        <is>
          <t>B.ASLP (RCI-approved)</t>
        </is>
      </c>
      <c r="P211" s="89" t="inlineStr">
        <is>
          <t>No</t>
        </is>
      </c>
      <c r="Q211" s="88" t="inlineStr">
        <is>
          <t>None — B.ASLP is required for RCI registration; M.ASLP for specialisation</t>
        </is>
      </c>
      <c r="R211" s="88" t="inlineStr">
        <is>
          <t>Class 12 PCB → B.ASLP only</t>
        </is>
      </c>
    </row>
    <row r="212" ht="30" customHeight="1" s="63">
      <c r="A212" s="76" t="n">
        <v>209</v>
      </c>
      <c r="B212" s="77" t="inlineStr">
        <is>
          <t>Optometrist</t>
        </is>
      </c>
      <c r="C212" s="78" t="inlineStr">
        <is>
          <t>Medicine</t>
        </is>
      </c>
      <c r="D212" s="76" t="n">
        <v>55</v>
      </c>
      <c r="E212" s="76" t="n">
        <v>74</v>
      </c>
      <c r="F212" s="76" t="n">
        <v>66</v>
      </c>
      <c r="G212" s="76" t="n">
        <v>72</v>
      </c>
      <c r="H212" s="76" t="n">
        <v>68</v>
      </c>
      <c r="I212" s="76">
        <f>ABS('Student Calculator'!C30-D212)</f>
        <v/>
      </c>
      <c r="J212" s="76">
        <f>ABS('Student Calculator'!D30-E212)</f>
        <v/>
      </c>
      <c r="K212" s="76">
        <f>ABS('Student Calculator'!E30-F212)</f>
        <v/>
      </c>
      <c r="L212" s="76">
        <f>ABS('Student Calculator'!F30-G212)</f>
        <v/>
      </c>
      <c r="M212" s="79">
        <f>ROUND(MAX(0, 100 - (I212*0.25 + J212*0.2 + K212*0.25 + L212*0.2)), 1)</f>
        <v/>
      </c>
      <c r="N212" s="80">
        <f>IF(M212&gt;=72,"🟢 BEST FIT",IF(M212&gt;=52,"🟡 CONSIDER","🔴 MISMATCH"))</f>
        <v/>
      </c>
      <c r="O212" s="81" t="inlineStr">
        <is>
          <t>B.Optom / B.Sc Optometry</t>
        </is>
      </c>
      <c r="P212" s="82" t="inlineStr">
        <is>
          <t>No</t>
        </is>
      </c>
      <c r="Q212" s="81" t="inlineStr">
        <is>
          <t>Diploma in Optometry (2 yr) for technician-level roles; B.Optom for independent practice</t>
        </is>
      </c>
      <c r="R212" s="81" t="inlineStr">
        <is>
          <t>Class 12 PCB only</t>
        </is>
      </c>
    </row>
    <row r="213" ht="30" customHeight="1" s="63">
      <c r="A213" s="83" t="n">
        <v>210</v>
      </c>
      <c r="B213" s="84" t="inlineStr">
        <is>
          <t>Nursing Professional</t>
        </is>
      </c>
      <c r="C213" s="85" t="inlineStr">
        <is>
          <t>Medicine</t>
        </is>
      </c>
      <c r="D213" s="83" t="n">
        <v>66</v>
      </c>
      <c r="E213" s="83" t="n">
        <v>76</v>
      </c>
      <c r="F213" s="83" t="n">
        <v>80</v>
      </c>
      <c r="G213" s="83" t="n">
        <v>70</v>
      </c>
      <c r="H213" s="83" t="n">
        <v>70</v>
      </c>
      <c r="I213" s="83">
        <f>ABS('Student Calculator'!C30-D213)</f>
        <v/>
      </c>
      <c r="J213" s="83">
        <f>ABS('Student Calculator'!D30-E213)</f>
        <v/>
      </c>
      <c r="K213" s="83">
        <f>ABS('Student Calculator'!E30-F213)</f>
        <v/>
      </c>
      <c r="L213" s="83">
        <f>ABS('Student Calculator'!F30-G213)</f>
        <v/>
      </c>
      <c r="M213" s="86">
        <f>ROUND(MAX(0, 100 - (I213*0.25 + J213*0.2 + K213*0.25 + L213*0.2)), 1)</f>
        <v/>
      </c>
      <c r="N213" s="87">
        <f>IF(M213&gt;=72,"🟢 BEST FIT",IF(M213&gt;=52,"🟡 CONSIDER","🔴 MISMATCH"))</f>
        <v/>
      </c>
      <c r="O213" s="88" t="inlineStr">
        <is>
          <t>B.Sc Nursing / GNM</t>
        </is>
      </c>
      <c r="P213" s="89" t="inlineStr">
        <is>
          <t>No</t>
        </is>
      </c>
      <c r="Q213" s="88" t="inlineStr">
        <is>
          <t>GNM diploma (3.5 yr) is the shorter route; Post-Basic B.Sc Nursing upgrades GNM holders</t>
        </is>
      </c>
      <c r="R213" s="88" t="inlineStr">
        <is>
          <t>Class 12 PCB → B.Sc Nursing or GNM</t>
        </is>
      </c>
    </row>
    <row r="214" ht="30" customHeight="1" s="63">
      <c r="A214" s="76" t="n">
        <v>211</v>
      </c>
      <c r="B214" s="77" t="inlineStr">
        <is>
          <t>Radiology / Imaging Technologist</t>
        </is>
      </c>
      <c r="C214" s="78" t="inlineStr">
        <is>
          <t>Medicine</t>
        </is>
      </c>
      <c r="D214" s="76" t="n">
        <v>50</v>
      </c>
      <c r="E214" s="76" t="n">
        <v>76</v>
      </c>
      <c r="F214" s="76" t="n">
        <v>64</v>
      </c>
      <c r="G214" s="76" t="n">
        <v>72</v>
      </c>
      <c r="H214" s="76" t="n">
        <v>66</v>
      </c>
      <c r="I214" s="76">
        <f>ABS('Student Calculator'!C30-D214)</f>
        <v/>
      </c>
      <c r="J214" s="76">
        <f>ABS('Student Calculator'!D30-E214)</f>
        <v/>
      </c>
      <c r="K214" s="76">
        <f>ABS('Student Calculator'!E30-F214)</f>
        <v/>
      </c>
      <c r="L214" s="76">
        <f>ABS('Student Calculator'!F30-G214)</f>
        <v/>
      </c>
      <c r="M214" s="79">
        <f>ROUND(MAX(0, 100 - (I214*0.25 + J214*0.2 + K214*0.25 + L214*0.2)), 1)</f>
        <v/>
      </c>
      <c r="N214" s="80">
        <f>IF(M214&gt;=72,"🟢 BEST FIT",IF(M214&gt;=52,"🟡 CONSIDER","🔴 MISMATCH"))</f>
        <v/>
      </c>
      <c r="O214" s="81" t="inlineStr">
        <is>
          <t>B.Sc Radiology &amp; Imaging Technology</t>
        </is>
      </c>
      <c r="P214" s="90" t="inlineStr">
        <is>
          <t>Partly</t>
        </is>
      </c>
      <c r="Q214" s="81" t="inlineStr">
        <is>
          <t>Diploma in Radiography (2 yr) for technician entry, then lateral upgrade to B.Sc</t>
        </is>
      </c>
      <c r="R214" s="81" t="inlineStr">
        <is>
          <t>Class 12 PCB, B.Sc allied health sciences</t>
        </is>
      </c>
    </row>
    <row r="215" ht="30" customHeight="1" s="63">
      <c r="A215" s="83" t="n">
        <v>212</v>
      </c>
      <c r="B215" s="84" t="inlineStr">
        <is>
          <t>Public Health Programme Officer</t>
        </is>
      </c>
      <c r="C215" s="85" t="inlineStr">
        <is>
          <t>Social</t>
        </is>
      </c>
      <c r="D215" s="83" t="n">
        <v>62</v>
      </c>
      <c r="E215" s="83" t="n">
        <v>72</v>
      </c>
      <c r="F215" s="83" t="n">
        <v>80</v>
      </c>
      <c r="G215" s="83" t="n">
        <v>74</v>
      </c>
      <c r="H215" s="83" t="n">
        <v>70</v>
      </c>
      <c r="I215" s="83">
        <f>ABS('Student Calculator'!C30-D215)</f>
        <v/>
      </c>
      <c r="J215" s="83">
        <f>ABS('Student Calculator'!D30-E215)</f>
        <v/>
      </c>
      <c r="K215" s="83">
        <f>ABS('Student Calculator'!E30-F215)</f>
        <v/>
      </c>
      <c r="L215" s="83">
        <f>ABS('Student Calculator'!F30-G215)</f>
        <v/>
      </c>
      <c r="M215" s="86">
        <f>ROUND(MAX(0, 100 - (I215*0.25 + J215*0.2 + K215*0.25 + L215*0.2)), 1)</f>
        <v/>
      </c>
      <c r="N215" s="87">
        <f>IF(M215&gt;=72,"🟢 BEST FIT",IF(M215&gt;=52,"🟡 CONSIDER","🔴 MISMATCH"))</f>
        <v/>
      </c>
      <c r="O215" s="88" t="inlineStr">
        <is>
          <t>Any degree + MPH</t>
        </is>
      </c>
      <c r="P215" s="93" t="inlineStr">
        <is>
          <t>Yes</t>
        </is>
      </c>
      <c r="Q215" s="88" t="inlineStr">
        <is>
          <t>MPH is open to ANY graduate at IIPH, TISS and most schools of public health</t>
        </is>
      </c>
      <c r="R215" s="88" t="inlineStr">
        <is>
          <t>ANY degree — MBBS, B.Sc, Sociology and Economics all feed it</t>
        </is>
      </c>
    </row>
    <row r="216" ht="30" customHeight="1" s="63">
      <c r="A216" s="76" t="n">
        <v>213</v>
      </c>
      <c r="B216" s="77" t="inlineStr">
        <is>
          <t>Corporate Social Responsibility Manager</t>
        </is>
      </c>
      <c r="C216" s="78" t="inlineStr">
        <is>
          <t>Social</t>
        </is>
      </c>
      <c r="D216" s="76" t="n">
        <v>64</v>
      </c>
      <c r="E216" s="76" t="n">
        <v>72</v>
      </c>
      <c r="F216" s="76" t="n">
        <v>80</v>
      </c>
      <c r="G216" s="76" t="n">
        <v>72</v>
      </c>
      <c r="H216" s="76" t="n">
        <v>70</v>
      </c>
      <c r="I216" s="76">
        <f>ABS('Student Calculator'!C30-D216)</f>
        <v/>
      </c>
      <c r="J216" s="76">
        <f>ABS('Student Calculator'!D30-E216)</f>
        <v/>
      </c>
      <c r="K216" s="76">
        <f>ABS('Student Calculator'!E30-F216)</f>
        <v/>
      </c>
      <c r="L216" s="76">
        <f>ABS('Student Calculator'!F30-G216)</f>
        <v/>
      </c>
      <c r="M216" s="79">
        <f>ROUND(MAX(0, 100 - (I216*0.25 + J216*0.2 + K216*0.25 + L216*0.2)), 1)</f>
        <v/>
      </c>
      <c r="N216" s="80">
        <f>IF(M216&gt;=72,"🟢 BEST FIT",IF(M216&gt;=52,"🟡 CONSIDER","🔴 MISMATCH"))</f>
        <v/>
      </c>
      <c r="O216" s="81" t="inlineStr">
        <is>
          <t>Any degree + MSW / MA Development</t>
        </is>
      </c>
      <c r="P216" s="92" t="inlineStr">
        <is>
          <t>Yes</t>
        </is>
      </c>
      <c r="Q216" s="81" t="inlineStr">
        <is>
          <t>MSW or MA Development Studies; also a pivot from NGO work or corporate communications</t>
        </is>
      </c>
      <c r="R216" s="81" t="inlineStr">
        <is>
          <t>ANY degree</t>
        </is>
      </c>
    </row>
    <row r="217" ht="30" customHeight="1" s="63">
      <c r="A217" s="83" t="n">
        <v>214</v>
      </c>
      <c r="B217" s="84" t="inlineStr">
        <is>
          <t>Fundraising / Grants Manager</t>
        </is>
      </c>
      <c r="C217" s="85" t="inlineStr">
        <is>
          <t>Social</t>
        </is>
      </c>
      <c r="D217" s="83" t="n">
        <v>64</v>
      </c>
      <c r="E217" s="83" t="n">
        <v>72</v>
      </c>
      <c r="F217" s="83" t="n">
        <v>78</v>
      </c>
      <c r="G217" s="83" t="n">
        <v>72</v>
      </c>
      <c r="H217" s="83" t="n">
        <v>70</v>
      </c>
      <c r="I217" s="83">
        <f>ABS('Student Calculator'!C30-D217)</f>
        <v/>
      </c>
      <c r="J217" s="83">
        <f>ABS('Student Calculator'!D30-E217)</f>
        <v/>
      </c>
      <c r="K217" s="83">
        <f>ABS('Student Calculator'!E30-F217)</f>
        <v/>
      </c>
      <c r="L217" s="83">
        <f>ABS('Student Calculator'!F30-G217)</f>
        <v/>
      </c>
      <c r="M217" s="86">
        <f>ROUND(MAX(0, 100 - (I217*0.25 + J217*0.2 + K217*0.25 + L217*0.2)), 1)</f>
        <v/>
      </c>
      <c r="N217" s="87">
        <f>IF(M217&gt;=72,"🟢 BEST FIT",IF(M217&gt;=52,"🟡 CONSIDER","🔴 MISMATCH"))</f>
        <v/>
      </c>
      <c r="O217" s="88" t="inlineStr">
        <is>
          <t>Any bachelor's degree</t>
        </is>
      </c>
      <c r="P217" s="93" t="inlineStr">
        <is>
          <t>Yes</t>
        </is>
      </c>
      <c r="Q217" s="88" t="inlineStr">
        <is>
          <t>A grant-writing portfolio; pivot from programme or communications roles</t>
        </is>
      </c>
      <c r="R217" s="88" t="inlineStr">
        <is>
          <t>ANY degree</t>
        </is>
      </c>
    </row>
    <row r="218" ht="30" customHeight="1" s="63">
      <c r="A218" s="76" t="n">
        <v>215</v>
      </c>
      <c r="B218" s="77" t="inlineStr">
        <is>
          <t>Impact Evaluation Specialist</t>
        </is>
      </c>
      <c r="C218" s="78" t="inlineStr">
        <is>
          <t>Social</t>
        </is>
      </c>
      <c r="D218" s="76" t="n">
        <v>50</v>
      </c>
      <c r="E218" s="76" t="n">
        <v>76</v>
      </c>
      <c r="F218" s="76" t="n">
        <v>78</v>
      </c>
      <c r="G218" s="76" t="n">
        <v>80</v>
      </c>
      <c r="H218" s="76" t="n">
        <v>72</v>
      </c>
      <c r="I218" s="76">
        <f>ABS('Student Calculator'!C30-D218)</f>
        <v/>
      </c>
      <c r="J218" s="76">
        <f>ABS('Student Calculator'!D30-E218)</f>
        <v/>
      </c>
      <c r="K218" s="76">
        <f>ABS('Student Calculator'!E30-F218)</f>
        <v/>
      </c>
      <c r="L218" s="76">
        <f>ABS('Student Calculator'!F30-G218)</f>
        <v/>
      </c>
      <c r="M218" s="79">
        <f>ROUND(MAX(0, 100 - (I218*0.25 + J218*0.2 + K218*0.25 + L218*0.2)), 1)</f>
        <v/>
      </c>
      <c r="N218" s="80">
        <f>IF(M218&gt;=72,"🟢 BEST FIT",IF(M218&gt;=52,"🟡 CONSIDER","🔴 MISMATCH"))</f>
        <v/>
      </c>
      <c r="O218" s="81" t="inlineStr">
        <is>
          <t>Any degree + M&amp;E or economics training</t>
        </is>
      </c>
      <c r="P218" s="92" t="inlineStr">
        <is>
          <t>Yes</t>
        </is>
      </c>
      <c r="Q218" s="81" t="inlineStr">
        <is>
          <t>MA Development Economics or M&amp;E certification; strong statistics is the real requirement</t>
        </is>
      </c>
      <c r="R218" s="81" t="inlineStr">
        <is>
          <t>Economics, Statistics, Sociology, ANY degree</t>
        </is>
      </c>
    </row>
    <row r="219" ht="30" customHeight="1" s="63">
      <c r="A219" s="83" t="n">
        <v>216</v>
      </c>
      <c r="B219" s="84" t="inlineStr">
        <is>
          <t>Sign Language Interpreter</t>
        </is>
      </c>
      <c r="C219" s="85" t="inlineStr">
        <is>
          <t>Social</t>
        </is>
      </c>
      <c r="D219" s="83" t="n">
        <v>62</v>
      </c>
      <c r="E219" s="83" t="n">
        <v>72</v>
      </c>
      <c r="F219" s="83" t="n">
        <v>80</v>
      </c>
      <c r="G219" s="83" t="n">
        <v>80</v>
      </c>
      <c r="H219" s="83" t="n">
        <v>68</v>
      </c>
      <c r="I219" s="83">
        <f>ABS('Student Calculator'!C30-D219)</f>
        <v/>
      </c>
      <c r="J219" s="83">
        <f>ABS('Student Calculator'!D30-E219)</f>
        <v/>
      </c>
      <c r="K219" s="83">
        <f>ABS('Student Calculator'!E30-F219)</f>
        <v/>
      </c>
      <c r="L219" s="83">
        <f>ABS('Student Calculator'!F30-G219)</f>
        <v/>
      </c>
      <c r="M219" s="86">
        <f>ROUND(MAX(0, 100 - (I219*0.25 + J219*0.2 + K219*0.25 + L219*0.2)), 1)</f>
        <v/>
      </c>
      <c r="N219" s="87">
        <f>IF(M219&gt;=72,"🟢 BEST FIT",IF(M219&gt;=52,"🟡 CONSIDER","🔴 MISMATCH"))</f>
        <v/>
      </c>
      <c r="O219" s="88" t="inlineStr">
        <is>
          <t>Any degree + ISL certification</t>
        </is>
      </c>
      <c r="P219" s="93" t="inlineStr">
        <is>
          <t>Yes</t>
        </is>
      </c>
      <c r="Q219" s="88" t="inlineStr">
        <is>
          <t>Diploma in Indian Sign Language Interpretation (RCI / ISLRTC)</t>
        </is>
      </c>
      <c r="R219" s="88" t="inlineStr">
        <is>
          <t>ANY degree</t>
        </is>
      </c>
    </row>
    <row r="220" ht="30" customHeight="1" s="63">
      <c r="A220" s="76" t="n">
        <v>217</v>
      </c>
      <c r="B220" s="77" t="inlineStr">
        <is>
          <t>Political Consultant / Campaign Manager</t>
        </is>
      </c>
      <c r="C220" s="78" t="inlineStr">
        <is>
          <t>Government</t>
        </is>
      </c>
      <c r="D220" s="76" t="n">
        <v>66</v>
      </c>
      <c r="E220" s="76" t="n">
        <v>68</v>
      </c>
      <c r="F220" s="76" t="n">
        <v>72</v>
      </c>
      <c r="G220" s="76" t="n">
        <v>74</v>
      </c>
      <c r="H220" s="76" t="n">
        <v>70</v>
      </c>
      <c r="I220" s="76">
        <f>ABS('Student Calculator'!C30-D220)</f>
        <v/>
      </c>
      <c r="J220" s="76">
        <f>ABS('Student Calculator'!D30-E220)</f>
        <v/>
      </c>
      <c r="K220" s="76">
        <f>ABS('Student Calculator'!E30-F220)</f>
        <v/>
      </c>
      <c r="L220" s="76">
        <f>ABS('Student Calculator'!F30-G220)</f>
        <v/>
      </c>
      <c r="M220" s="79">
        <f>ROUND(MAX(0, 100 - (I220*0.25 + J220*0.2 + K220*0.25 + L220*0.2)), 1)</f>
        <v/>
      </c>
      <c r="N220" s="80">
        <f>IF(M220&gt;=72,"🟢 BEST FIT",IF(M220&gt;=52,"🟡 CONSIDER","🔴 MISMATCH"))</f>
        <v/>
      </c>
      <c r="O220" s="81" t="inlineStr">
        <is>
          <t>Any bachelor's degree</t>
        </is>
      </c>
      <c r="P220" s="92" t="inlineStr">
        <is>
          <t>Yes</t>
        </is>
      </c>
      <c r="Q220" s="81" t="inlineStr">
        <is>
          <t>Entry through a campaign consultancy; a political science background is optional</t>
        </is>
      </c>
      <c r="R220" s="81" t="inlineStr">
        <is>
          <t>ANY degree</t>
        </is>
      </c>
    </row>
    <row r="221" ht="30" customHeight="1" s="63">
      <c r="A221" s="83" t="n">
        <v>218</v>
      </c>
      <c r="B221" s="84" t="inlineStr">
        <is>
          <t>Paralegal / Legal Operations</t>
        </is>
      </c>
      <c r="C221" s="85" t="inlineStr">
        <is>
          <t>Law</t>
        </is>
      </c>
      <c r="D221" s="83" t="n">
        <v>50</v>
      </c>
      <c r="E221" s="83" t="n">
        <v>76</v>
      </c>
      <c r="F221" s="83" t="n">
        <v>64</v>
      </c>
      <c r="G221" s="83" t="n">
        <v>72</v>
      </c>
      <c r="H221" s="83" t="n">
        <v>66</v>
      </c>
      <c r="I221" s="83">
        <f>ABS('Student Calculator'!C30-D221)</f>
        <v/>
      </c>
      <c r="J221" s="83">
        <f>ABS('Student Calculator'!D30-E221)</f>
        <v/>
      </c>
      <c r="K221" s="83">
        <f>ABS('Student Calculator'!E30-F221)</f>
        <v/>
      </c>
      <c r="L221" s="83">
        <f>ABS('Student Calculator'!F30-G221)</f>
        <v/>
      </c>
      <c r="M221" s="86">
        <f>ROUND(MAX(0, 100 - (I221*0.25 + J221*0.2 + K221*0.25 + L221*0.2)), 1)</f>
        <v/>
      </c>
      <c r="N221" s="87">
        <f>IF(M221&gt;=72,"🟢 BEST FIT",IF(M221&gt;=52,"🟡 CONSIDER","🔴 MISMATCH"))</f>
        <v/>
      </c>
      <c r="O221" s="88" t="inlineStr">
        <is>
          <t>Any degree + paralegal diploma</t>
        </is>
      </c>
      <c r="P221" s="93" t="inlineStr">
        <is>
          <t>Yes</t>
        </is>
      </c>
      <c r="Q221" s="88" t="inlineStr">
        <is>
          <t>Paralegal diploma or LLB; law-firm operations teams actively hire non-lawyers</t>
        </is>
      </c>
      <c r="R221" s="88" t="inlineStr">
        <is>
          <t>ANY degree</t>
        </is>
      </c>
    </row>
    <row r="222" ht="30" customHeight="1" s="63">
      <c r="A222" s="76" t="n">
        <v>219</v>
      </c>
      <c r="B222" s="77" t="inlineStr">
        <is>
          <t>Health &amp; Safety (EHS) Officer</t>
        </is>
      </c>
      <c r="C222" s="78" t="inlineStr">
        <is>
          <t>Emerging</t>
        </is>
      </c>
      <c r="D222" s="76" t="n">
        <v>52</v>
      </c>
      <c r="E222" s="76" t="n">
        <v>78</v>
      </c>
      <c r="F222" s="76" t="n">
        <v>70</v>
      </c>
      <c r="G222" s="76" t="n">
        <v>68</v>
      </c>
      <c r="H222" s="76" t="n">
        <v>70</v>
      </c>
      <c r="I222" s="76">
        <f>ABS('Student Calculator'!C30-D222)</f>
        <v/>
      </c>
      <c r="J222" s="76">
        <f>ABS('Student Calculator'!D30-E222)</f>
        <v/>
      </c>
      <c r="K222" s="76">
        <f>ABS('Student Calculator'!E30-F222)</f>
        <v/>
      </c>
      <c r="L222" s="76">
        <f>ABS('Student Calculator'!F30-G222)</f>
        <v/>
      </c>
      <c r="M222" s="79">
        <f>ROUND(MAX(0, 100 - (I222*0.25 + J222*0.2 + K222*0.25 + L222*0.2)), 1)</f>
        <v/>
      </c>
      <c r="N222" s="80">
        <f>IF(M222&gt;=72,"🟢 BEST FIT",IF(M222&gt;=52,"🟡 CONSIDER","🔴 MISMATCH"))</f>
        <v/>
      </c>
      <c r="O222" s="81" t="inlineStr">
        <is>
          <t>Any degree + Diploma in Industrial Safety</t>
        </is>
      </c>
      <c r="P222" s="92" t="inlineStr">
        <is>
          <t>Yes</t>
        </is>
      </c>
      <c r="Q222" s="81" t="inlineStr">
        <is>
          <t>State-recognised Diploma in Industrial Safety, or NEBOSH IGC certification</t>
        </is>
      </c>
      <c r="R222" s="81" t="inlineStr">
        <is>
          <t>BE, B.Sc, ANY degree</t>
        </is>
      </c>
    </row>
    <row r="223" ht="30" customHeight="1" s="63">
      <c r="A223" s="83" t="n">
        <v>220</v>
      </c>
      <c r="B223" s="84" t="inlineStr">
        <is>
          <t>Instructional Designer</t>
        </is>
      </c>
      <c r="C223" s="85" t="inlineStr">
        <is>
          <t>Education</t>
        </is>
      </c>
      <c r="D223" s="83" t="n">
        <v>58</v>
      </c>
      <c r="E223" s="83" t="n">
        <v>72</v>
      </c>
      <c r="F223" s="83" t="n">
        <v>74</v>
      </c>
      <c r="G223" s="83" t="n">
        <v>78</v>
      </c>
      <c r="H223" s="83" t="n">
        <v>70</v>
      </c>
      <c r="I223" s="83">
        <f>ABS('Student Calculator'!C30-D223)</f>
        <v/>
      </c>
      <c r="J223" s="83">
        <f>ABS('Student Calculator'!D30-E223)</f>
        <v/>
      </c>
      <c r="K223" s="83">
        <f>ABS('Student Calculator'!E30-F223)</f>
        <v/>
      </c>
      <c r="L223" s="83">
        <f>ABS('Student Calculator'!F30-G223)</f>
        <v/>
      </c>
      <c r="M223" s="86">
        <f>ROUND(MAX(0, 100 - (I223*0.25 + J223*0.2 + K223*0.25 + L223*0.2)), 1)</f>
        <v/>
      </c>
      <c r="N223" s="87">
        <f>IF(M223&gt;=72,"🟢 BEST FIT",IF(M223&gt;=52,"🟡 CONSIDER","🔴 MISMATCH"))</f>
        <v/>
      </c>
      <c r="O223" s="88" t="inlineStr">
        <is>
          <t>Any degree + ID certification</t>
        </is>
      </c>
      <c r="P223" s="93" t="inlineStr">
        <is>
          <t>Yes</t>
        </is>
      </c>
      <c r="Q223" s="88" t="inlineStr">
        <is>
          <t>ATD or instructional design certification; a common pivot from teaching or content</t>
        </is>
      </c>
      <c r="R223" s="88" t="inlineStr">
        <is>
          <t>Education, Psychology, ANY degree</t>
        </is>
      </c>
    </row>
    <row r="224" ht="30" customHeight="1" s="63">
      <c r="A224" s="76" t="n">
        <v>221</v>
      </c>
      <c r="B224" s="77" t="inlineStr">
        <is>
          <t>Career Counsellor</t>
        </is>
      </c>
      <c r="C224" s="78" t="inlineStr">
        <is>
          <t>Education</t>
        </is>
      </c>
      <c r="D224" s="76" t="n">
        <v>66</v>
      </c>
      <c r="E224" s="76" t="n">
        <v>72</v>
      </c>
      <c r="F224" s="76" t="n">
        <v>80</v>
      </c>
      <c r="G224" s="76" t="n">
        <v>74</v>
      </c>
      <c r="H224" s="76" t="n">
        <v>74</v>
      </c>
      <c r="I224" s="76">
        <f>ABS('Student Calculator'!C30-D224)</f>
        <v/>
      </c>
      <c r="J224" s="76">
        <f>ABS('Student Calculator'!D30-E224)</f>
        <v/>
      </c>
      <c r="K224" s="76">
        <f>ABS('Student Calculator'!E30-F224)</f>
        <v/>
      </c>
      <c r="L224" s="76">
        <f>ABS('Student Calculator'!F30-G224)</f>
        <v/>
      </c>
      <c r="M224" s="79">
        <f>ROUND(MAX(0, 100 - (I224*0.25 + J224*0.2 + K224*0.25 + L224*0.2)), 1)</f>
        <v/>
      </c>
      <c r="N224" s="80">
        <f>IF(M224&gt;=72,"🟢 BEST FIT",IF(M224&gt;=52,"🟡 CONSIDER","🔴 MISMATCH"))</f>
        <v/>
      </c>
      <c r="O224" s="81" t="inlineStr">
        <is>
          <t>Any degree + counselling certification</t>
        </is>
      </c>
      <c r="P224" s="92" t="inlineStr">
        <is>
          <t>Yes</t>
        </is>
      </c>
      <c r="Q224" s="81" t="inlineStr">
        <is>
          <t>Career counselling certification (ICCC, NCDA); a natural pivot from teaching or HR</t>
        </is>
      </c>
      <c r="R224" s="81" t="inlineStr">
        <is>
          <t>Psychology, Education, HR, ANY degree</t>
        </is>
      </c>
    </row>
    <row r="225" ht="30" customHeight="1" s="63">
      <c r="A225" s="83" t="n">
        <v>222</v>
      </c>
      <c r="B225" s="84" t="inlineStr">
        <is>
          <t>Test Prep Educator</t>
        </is>
      </c>
      <c r="C225" s="85" t="inlineStr">
        <is>
          <t>Education</t>
        </is>
      </c>
      <c r="D225" s="83" t="n">
        <v>62</v>
      </c>
      <c r="E225" s="83" t="n">
        <v>70</v>
      </c>
      <c r="F225" s="83" t="n">
        <v>74</v>
      </c>
      <c r="G225" s="83" t="n">
        <v>80</v>
      </c>
      <c r="H225" s="83" t="n">
        <v>68</v>
      </c>
      <c r="I225" s="83">
        <f>ABS('Student Calculator'!C30-D225)</f>
        <v/>
      </c>
      <c r="J225" s="83">
        <f>ABS('Student Calculator'!D30-E225)</f>
        <v/>
      </c>
      <c r="K225" s="83">
        <f>ABS('Student Calculator'!E30-F225)</f>
        <v/>
      </c>
      <c r="L225" s="83">
        <f>ABS('Student Calculator'!F30-G225)</f>
        <v/>
      </c>
      <c r="M225" s="86">
        <f>ROUND(MAX(0, 100 - (I225*0.25 + J225*0.2 + K225*0.25 + L225*0.2)), 1)</f>
        <v/>
      </c>
      <c r="N225" s="87">
        <f>IF(M225&gt;=72,"🟢 BEST FIT",IF(M225&gt;=52,"🟡 CONSIDER","🔴 MISMATCH"))</f>
        <v/>
      </c>
      <c r="O225" s="88" t="inlineStr">
        <is>
          <t>Any degree + subject mastery</t>
        </is>
      </c>
      <c r="P225" s="93" t="inlineStr">
        <is>
          <t>Yes</t>
        </is>
      </c>
      <c r="Q225" s="88" t="inlineStr">
        <is>
          <t>The demo lecture is the entry test; your own exam score is the credential</t>
        </is>
      </c>
      <c r="R225" s="88" t="inlineStr">
        <is>
          <t>ANY degree — engineering and medical graduates dominate this field</t>
        </is>
      </c>
    </row>
    <row r="226" ht="30" customHeight="1" s="63">
      <c r="A226" s="76" t="n">
        <v>223</v>
      </c>
      <c r="B226" s="77" t="inlineStr">
        <is>
          <t>Academic Content Developer</t>
        </is>
      </c>
      <c r="C226" s="78" t="inlineStr">
        <is>
          <t>Education</t>
        </is>
      </c>
      <c r="D226" s="76" t="n">
        <v>52</v>
      </c>
      <c r="E226" s="76" t="n">
        <v>74</v>
      </c>
      <c r="F226" s="76" t="n">
        <v>72</v>
      </c>
      <c r="G226" s="76" t="n">
        <v>80</v>
      </c>
      <c r="H226" s="76" t="n">
        <v>68</v>
      </c>
      <c r="I226" s="76">
        <f>ABS('Student Calculator'!C30-D226)</f>
        <v/>
      </c>
      <c r="J226" s="76">
        <f>ABS('Student Calculator'!D30-E226)</f>
        <v/>
      </c>
      <c r="K226" s="76">
        <f>ABS('Student Calculator'!E30-F226)</f>
        <v/>
      </c>
      <c r="L226" s="76">
        <f>ABS('Student Calculator'!F30-G226)</f>
        <v/>
      </c>
      <c r="M226" s="79">
        <f>ROUND(MAX(0, 100 - (I226*0.25 + J226*0.2 + K226*0.25 + L226*0.2)), 1)</f>
        <v/>
      </c>
      <c r="N226" s="80">
        <f>IF(M226&gt;=72,"🟢 BEST FIT",IF(M226&gt;=52,"🟡 CONSIDER","🔴 MISMATCH"))</f>
        <v/>
      </c>
      <c r="O226" s="81" t="inlineStr">
        <is>
          <t>Any degree with subject mastery</t>
        </is>
      </c>
      <c r="P226" s="92" t="inlineStr">
        <is>
          <t>Yes</t>
        </is>
      </c>
      <c r="Q226" s="81" t="inlineStr">
        <is>
          <t>A subject test and sample content; EdTech companies hire from every stream</t>
        </is>
      </c>
      <c r="R226" s="81" t="inlineStr">
        <is>
          <t>ANY degree</t>
        </is>
      </c>
    </row>
    <row r="227" ht="30" customHeight="1" s="63">
      <c r="A227" s="83" t="n">
        <v>224</v>
      </c>
      <c r="B227" s="84" t="inlineStr">
        <is>
          <t>School Administrator / Principal</t>
        </is>
      </c>
      <c r="C227" s="85" t="inlineStr">
        <is>
          <t>Education</t>
        </is>
      </c>
      <c r="D227" s="83" t="n">
        <v>64</v>
      </c>
      <c r="E227" s="83" t="n">
        <v>76</v>
      </c>
      <c r="F227" s="83" t="n">
        <v>74</v>
      </c>
      <c r="G227" s="83" t="n">
        <v>72</v>
      </c>
      <c r="H227" s="83" t="n">
        <v>74</v>
      </c>
      <c r="I227" s="83">
        <f>ABS('Student Calculator'!C30-D227)</f>
        <v/>
      </c>
      <c r="J227" s="83">
        <f>ABS('Student Calculator'!D30-E227)</f>
        <v/>
      </c>
      <c r="K227" s="83">
        <f>ABS('Student Calculator'!E30-F227)</f>
        <v/>
      </c>
      <c r="L227" s="83">
        <f>ABS('Student Calculator'!F30-G227)</f>
        <v/>
      </c>
      <c r="M227" s="86">
        <f>ROUND(MAX(0, 100 - (I227*0.25 + J227*0.2 + K227*0.25 + L227*0.2)), 1)</f>
        <v/>
      </c>
      <c r="N227" s="87">
        <f>IF(M227&gt;=72,"🟢 BEST FIT",IF(M227&gt;=52,"🟡 CONSIDER","🔴 MISMATCH"))</f>
        <v/>
      </c>
      <c r="O227" s="88" t="inlineStr">
        <is>
          <t>Any degree + B.Ed + teaching experience</t>
        </is>
      </c>
      <c r="P227" s="93" t="inlineStr">
        <is>
          <t>Yes</t>
        </is>
      </c>
      <c r="Q227" s="88" t="inlineStr">
        <is>
          <t>B.Ed after ANY degree, then classroom experience leading into administration; M.Ed for senior posts</t>
        </is>
      </c>
      <c r="R227" s="88" t="inlineStr">
        <is>
          <t>ANY degree → B.Ed</t>
        </is>
      </c>
    </row>
    <row r="228" ht="30" customHeight="1" s="63">
      <c r="A228" s="76" t="n">
        <v>225</v>
      </c>
      <c r="B228" s="77" t="inlineStr">
        <is>
          <t>Study Abroad Consultant</t>
        </is>
      </c>
      <c r="C228" s="78" t="inlineStr">
        <is>
          <t>Education</t>
        </is>
      </c>
      <c r="D228" s="76" t="n">
        <v>64</v>
      </c>
      <c r="E228" s="76" t="n">
        <v>70</v>
      </c>
      <c r="F228" s="76" t="n">
        <v>70</v>
      </c>
      <c r="G228" s="76" t="n">
        <v>70</v>
      </c>
      <c r="H228" s="76" t="n">
        <v>68</v>
      </c>
      <c r="I228" s="76">
        <f>ABS('Student Calculator'!C30-D228)</f>
        <v/>
      </c>
      <c r="J228" s="76">
        <f>ABS('Student Calculator'!D30-E228)</f>
        <v/>
      </c>
      <c r="K228" s="76">
        <f>ABS('Student Calculator'!E30-F228)</f>
        <v/>
      </c>
      <c r="L228" s="76">
        <f>ABS('Student Calculator'!F30-G228)</f>
        <v/>
      </c>
      <c r="M228" s="79">
        <f>ROUND(MAX(0, 100 - (I228*0.25 + J228*0.2 + K228*0.25 + L228*0.2)), 1)</f>
        <v/>
      </c>
      <c r="N228" s="80">
        <f>IF(M228&gt;=72,"🟢 BEST FIT",IF(M228&gt;=52,"🟡 CONSIDER","🔴 MISMATCH"))</f>
        <v/>
      </c>
      <c r="O228" s="81" t="inlineStr">
        <is>
          <t>Any bachelor's degree</t>
        </is>
      </c>
      <c r="P228" s="92" t="inlineStr">
        <is>
          <t>Yes</t>
        </is>
      </c>
      <c r="Q228" s="81" t="inlineStr">
        <is>
          <t>Agency training; IDP or British Council certification is optional</t>
        </is>
      </c>
      <c r="R228" s="81" t="inlineStr">
        <is>
          <t>ANY degree</t>
        </is>
      </c>
    </row>
    <row r="229" ht="30" customHeight="1" s="63">
      <c r="A229" s="83" t="n">
        <v>226</v>
      </c>
      <c r="B229" s="84" t="inlineStr">
        <is>
          <t>Librarian / Information Scientist</t>
        </is>
      </c>
      <c r="C229" s="85" t="inlineStr">
        <is>
          <t>Education</t>
        </is>
      </c>
      <c r="D229" s="83" t="n">
        <v>48</v>
      </c>
      <c r="E229" s="83" t="n">
        <v>74</v>
      </c>
      <c r="F229" s="83" t="n">
        <v>68</v>
      </c>
      <c r="G229" s="83" t="n">
        <v>74</v>
      </c>
      <c r="H229" s="83" t="n">
        <v>66</v>
      </c>
      <c r="I229" s="83">
        <f>ABS('Student Calculator'!C30-D229)</f>
        <v/>
      </c>
      <c r="J229" s="83">
        <f>ABS('Student Calculator'!D30-E229)</f>
        <v/>
      </c>
      <c r="K229" s="83">
        <f>ABS('Student Calculator'!E30-F229)</f>
        <v/>
      </c>
      <c r="L229" s="83">
        <f>ABS('Student Calculator'!F30-G229)</f>
        <v/>
      </c>
      <c r="M229" s="86">
        <f>ROUND(MAX(0, 100 - (I229*0.25 + J229*0.2 + K229*0.25 + L229*0.2)), 1)</f>
        <v/>
      </c>
      <c r="N229" s="87">
        <f>IF(M229&gt;=72,"🟢 BEST FIT",IF(M229&gt;=52,"🟡 CONSIDER","🔴 MISMATCH"))</f>
        <v/>
      </c>
      <c r="O229" s="88" t="inlineStr">
        <is>
          <t>Any degree + B.Lib.I.Sc</t>
        </is>
      </c>
      <c r="P229" s="93" t="inlineStr">
        <is>
          <t>Yes</t>
        </is>
      </c>
      <c r="Q229" s="88" t="inlineStr">
        <is>
          <t>B.Lib.I.Sc (1 yr) is open to ANY graduate; UGC-NET LIS for academic posts</t>
        </is>
      </c>
      <c r="R229" s="88" t="inlineStr">
        <is>
          <t>ANY degree</t>
        </is>
      </c>
    </row>
    <row r="230" ht="30" customHeight="1" s="63">
      <c r="A230" s="76" t="n">
        <v>227</v>
      </c>
      <c r="B230" s="77" t="inlineStr">
        <is>
          <t>Linguist / Language Specialist</t>
        </is>
      </c>
      <c r="C230" s="78" t="inlineStr">
        <is>
          <t>Education</t>
        </is>
      </c>
      <c r="D230" s="76" t="n">
        <v>48</v>
      </c>
      <c r="E230" s="76" t="n">
        <v>74</v>
      </c>
      <c r="F230" s="76" t="n">
        <v>74</v>
      </c>
      <c r="G230" s="76" t="n">
        <v>84</v>
      </c>
      <c r="H230" s="76" t="n">
        <v>68</v>
      </c>
      <c r="I230" s="76">
        <f>ABS('Student Calculator'!C30-D230)</f>
        <v/>
      </c>
      <c r="J230" s="76">
        <f>ABS('Student Calculator'!D30-E230)</f>
        <v/>
      </c>
      <c r="K230" s="76">
        <f>ABS('Student Calculator'!E30-F230)</f>
        <v/>
      </c>
      <c r="L230" s="76">
        <f>ABS('Student Calculator'!F30-G230)</f>
        <v/>
      </c>
      <c r="M230" s="79">
        <f>ROUND(MAX(0, 100 - (I230*0.25 + J230*0.2 + K230*0.25 + L230*0.2)), 1)</f>
        <v/>
      </c>
      <c r="N230" s="80">
        <f>IF(M230&gt;=72,"🟢 BEST FIT",IF(M230&gt;=52,"🟡 CONSIDER","🔴 MISMATCH"))</f>
        <v/>
      </c>
      <c r="O230" s="81" t="inlineStr">
        <is>
          <t>BA/MA Linguistics or a language</t>
        </is>
      </c>
      <c r="P230" s="90" t="inlineStr">
        <is>
          <t>Partly</t>
        </is>
      </c>
      <c r="Q230" s="81" t="inlineStr">
        <is>
          <t>MA Linguistics is open to any graduate at most universities; proficiency certification for industry roles</t>
        </is>
      </c>
      <c r="R230" s="81" t="inlineStr">
        <is>
          <t>ANY degree with real language ability</t>
        </is>
      </c>
    </row>
    <row r="231" ht="30" customHeight="1" s="63">
      <c r="A231" s="83" t="n">
        <v>228</v>
      </c>
      <c r="B231" s="84" t="inlineStr">
        <is>
          <t>Museum Curator / Archivist</t>
        </is>
      </c>
      <c r="C231" s="85" t="inlineStr">
        <is>
          <t>Creative</t>
        </is>
      </c>
      <c r="D231" s="83" t="n">
        <v>52</v>
      </c>
      <c r="E231" s="83" t="n">
        <v>74</v>
      </c>
      <c r="F231" s="83" t="n">
        <v>76</v>
      </c>
      <c r="G231" s="83" t="n">
        <v>76</v>
      </c>
      <c r="H231" s="83" t="n">
        <v>70</v>
      </c>
      <c r="I231" s="83">
        <f>ABS('Student Calculator'!C30-D231)</f>
        <v/>
      </c>
      <c r="J231" s="83">
        <f>ABS('Student Calculator'!D30-E231)</f>
        <v/>
      </c>
      <c r="K231" s="83">
        <f>ABS('Student Calculator'!E30-F231)</f>
        <v/>
      </c>
      <c r="L231" s="83">
        <f>ABS('Student Calculator'!F30-G231)</f>
        <v/>
      </c>
      <c r="M231" s="86">
        <f>ROUND(MAX(0, 100 - (I231*0.25 + J231*0.2 + K231*0.25 + L231*0.2)), 1)</f>
        <v/>
      </c>
      <c r="N231" s="87">
        <f>IF(M231&gt;=72,"🟢 BEST FIT",IF(M231&gt;=52,"🟡 CONSIDER","🔴 MISMATCH"))</f>
        <v/>
      </c>
      <c r="O231" s="88" t="inlineStr">
        <is>
          <t>Any degree + MA Museology / History</t>
        </is>
      </c>
      <c r="P231" s="93" t="inlineStr">
        <is>
          <t>Yes</t>
        </is>
      </c>
      <c r="Q231" s="88" t="inlineStr">
        <is>
          <t>MA Museology (National Museum Institute, MSU Baroda) is open to any graduate</t>
        </is>
      </c>
      <c r="R231" s="88" t="inlineStr">
        <is>
          <t>History, Fine Arts, Anthropology, ANY degree</t>
        </is>
      </c>
    </row>
    <row r="232" ht="30" customHeight="1" s="63">
      <c r="A232" s="76" t="n">
        <v>229</v>
      </c>
      <c r="B232" s="77" t="inlineStr">
        <is>
          <t>Commercial Pilot</t>
        </is>
      </c>
      <c r="C232" s="78" t="inlineStr">
        <is>
          <t>Aviation</t>
        </is>
      </c>
      <c r="D232" s="76" t="n">
        <v>58</v>
      </c>
      <c r="E232" s="76" t="n">
        <v>78</v>
      </c>
      <c r="F232" s="76" t="n">
        <v>74</v>
      </c>
      <c r="G232" s="76" t="n">
        <v>74</v>
      </c>
      <c r="H232" s="76" t="n">
        <v>72</v>
      </c>
      <c r="I232" s="76">
        <f>ABS('Student Calculator'!C30-D232)</f>
        <v/>
      </c>
      <c r="J232" s="76">
        <f>ABS('Student Calculator'!D30-E232)</f>
        <v/>
      </c>
      <c r="K232" s="76">
        <f>ABS('Student Calculator'!E30-F232)</f>
        <v/>
      </c>
      <c r="L232" s="76">
        <f>ABS('Student Calculator'!F30-G232)</f>
        <v/>
      </c>
      <c r="M232" s="79">
        <f>ROUND(MAX(0, 100 - (I232*0.25 + J232*0.2 + K232*0.25 + L232*0.2)), 1)</f>
        <v/>
      </c>
      <c r="N232" s="80">
        <f>IF(M232&gt;=72,"🟢 BEST FIT",IF(M232&gt;=52,"🟡 CONSIDER","🔴 MISMATCH"))</f>
        <v/>
      </c>
      <c r="O232" s="81" t="inlineStr">
        <is>
          <t>Class 12 PCM + DGCA CPL</t>
        </is>
      </c>
      <c r="P232" s="90" t="inlineStr">
        <is>
          <t>Partly</t>
        </is>
      </c>
      <c r="Q232" s="81" t="inlineStr">
        <is>
          <t>DGCA CPL needs no degree at all, but Class 12 with Physics and Maths is mandatory (NIOS route available)</t>
        </is>
      </c>
      <c r="R232" s="81" t="inlineStr">
        <is>
          <t>ANY degree, provided Class 12 had Physics and Maths</t>
        </is>
      </c>
    </row>
    <row r="233" ht="30" customHeight="1" s="63">
      <c r="A233" s="83" t="n">
        <v>230</v>
      </c>
      <c r="B233" s="84" t="inlineStr">
        <is>
          <t>Cabin Crew / Aviation Service</t>
        </is>
      </c>
      <c r="C233" s="85" t="inlineStr">
        <is>
          <t>Aviation</t>
        </is>
      </c>
      <c r="D233" s="83" t="n">
        <v>66</v>
      </c>
      <c r="E233" s="83" t="n">
        <v>70</v>
      </c>
      <c r="F233" s="83" t="n">
        <v>66</v>
      </c>
      <c r="G233" s="83" t="n">
        <v>62</v>
      </c>
      <c r="H233" s="83" t="n">
        <v>60</v>
      </c>
      <c r="I233" s="83">
        <f>ABS('Student Calculator'!C30-D233)</f>
        <v/>
      </c>
      <c r="J233" s="83">
        <f>ABS('Student Calculator'!D30-E233)</f>
        <v/>
      </c>
      <c r="K233" s="83">
        <f>ABS('Student Calculator'!E30-F233)</f>
        <v/>
      </c>
      <c r="L233" s="83">
        <f>ABS('Student Calculator'!F30-G233)</f>
        <v/>
      </c>
      <c r="M233" s="86">
        <f>ROUND(MAX(0, 100 - (I233*0.25 + J233*0.2 + K233*0.25 + L233*0.2)), 1)</f>
        <v/>
      </c>
      <c r="N233" s="87">
        <f>IF(M233&gt;=72,"🟢 BEST FIT",IF(M233&gt;=52,"🟡 CONSIDER","🔴 MISMATCH"))</f>
        <v/>
      </c>
      <c r="O233" s="88" t="inlineStr">
        <is>
          <t>Class 12 or any degree</t>
        </is>
      </c>
      <c r="P233" s="93" t="inlineStr">
        <is>
          <t>Yes</t>
        </is>
      </c>
      <c r="Q233" s="88" t="inlineStr">
        <is>
          <t>Airline training academy after selection — no degree requirement</t>
        </is>
      </c>
      <c r="R233" s="88" t="inlineStr">
        <is>
          <t>ANY degree, or Class 12</t>
        </is>
      </c>
    </row>
    <row r="234" ht="30" customHeight="1" s="63">
      <c r="A234" s="76" t="n">
        <v>231</v>
      </c>
      <c r="B234" s="77" t="inlineStr">
        <is>
          <t>Air Traffic Controller</t>
        </is>
      </c>
      <c r="C234" s="78" t="inlineStr">
        <is>
          <t>Aviation</t>
        </is>
      </c>
      <c r="D234" s="76" t="n">
        <v>50</v>
      </c>
      <c r="E234" s="76" t="n">
        <v>80</v>
      </c>
      <c r="F234" s="76" t="n">
        <v>70</v>
      </c>
      <c r="G234" s="76" t="n">
        <v>78</v>
      </c>
      <c r="H234" s="76" t="n">
        <v>72</v>
      </c>
      <c r="I234" s="76">
        <f>ABS('Student Calculator'!C30-D234)</f>
        <v/>
      </c>
      <c r="J234" s="76">
        <f>ABS('Student Calculator'!D30-E234)</f>
        <v/>
      </c>
      <c r="K234" s="76">
        <f>ABS('Student Calculator'!E30-F234)</f>
        <v/>
      </c>
      <c r="L234" s="76">
        <f>ABS('Student Calculator'!F30-G234)</f>
        <v/>
      </c>
      <c r="M234" s="79">
        <f>ROUND(MAX(0, 100 - (I234*0.25 + J234*0.2 + K234*0.25 + L234*0.2)), 1)</f>
        <v/>
      </c>
      <c r="N234" s="80">
        <f>IF(M234&gt;=72,"🟢 BEST FIT",IF(M234&gt;=52,"🟡 CONSIDER","🔴 MISMATCH"))</f>
        <v/>
      </c>
      <c r="O234" s="81" t="inlineStr">
        <is>
          <t>B.Sc PCM or B.E./B.Tech + AAI exam</t>
        </is>
      </c>
      <c r="P234" s="90" t="inlineStr">
        <is>
          <t>Partly</t>
        </is>
      </c>
      <c r="Q234" s="81" t="inlineStr">
        <is>
          <t>AAI Junior Executive (ATC) exam — requires B.Sc with Physics and Maths, or any engineering degree</t>
        </is>
      </c>
      <c r="R234" s="81" t="inlineStr">
        <is>
          <t>B.Sc PCM, BE/B.Tech any branch</t>
        </is>
      </c>
    </row>
    <row r="235" ht="30" customHeight="1" s="63">
      <c r="A235" s="83" t="n">
        <v>232</v>
      </c>
      <c r="B235" s="84" t="inlineStr">
        <is>
          <t>Merchant Navy Officer</t>
        </is>
      </c>
      <c r="C235" s="85" t="inlineStr">
        <is>
          <t>Maritime</t>
        </is>
      </c>
      <c r="D235" s="83" t="n">
        <v>55</v>
      </c>
      <c r="E235" s="83" t="n">
        <v>78</v>
      </c>
      <c r="F235" s="83" t="n">
        <v>68</v>
      </c>
      <c r="G235" s="83" t="n">
        <v>72</v>
      </c>
      <c r="H235" s="83" t="n">
        <v>70</v>
      </c>
      <c r="I235" s="83">
        <f>ABS('Student Calculator'!C30-D235)</f>
        <v/>
      </c>
      <c r="J235" s="83">
        <f>ABS('Student Calculator'!D30-E235)</f>
        <v/>
      </c>
      <c r="K235" s="83">
        <f>ABS('Student Calculator'!E30-F235)</f>
        <v/>
      </c>
      <c r="L235" s="83">
        <f>ABS('Student Calculator'!F30-G235)</f>
        <v/>
      </c>
      <c r="M235" s="86">
        <f>ROUND(MAX(0, 100 - (I235*0.25 + J235*0.2 + K235*0.25 + L235*0.2)), 1)</f>
        <v/>
      </c>
      <c r="N235" s="87">
        <f>IF(M235&gt;=72,"🟢 BEST FIT",IF(M235&gt;=52,"🟡 CONSIDER","🔴 MISMATCH"))</f>
        <v/>
      </c>
      <c r="O235" s="88" t="inlineStr">
        <is>
          <t>B.Sc Nautical Science / DNS / Marine Engg</t>
        </is>
      </c>
      <c r="P235" s="91" t="inlineStr">
        <is>
          <t>Partly</t>
        </is>
      </c>
      <c r="Q235" s="88" t="inlineStr">
        <is>
          <t>DNS (1 yr) after Class 12 PCM; GME (1 yr) is a graduate route specifically for BE Mechanical holders</t>
        </is>
      </c>
      <c r="R235" s="88" t="inlineStr">
        <is>
          <t>Class 12 PCM; BE Mechanical via the GME route</t>
        </is>
      </c>
    </row>
    <row r="236" ht="30" customHeight="1" s="63">
      <c r="A236" s="76" t="n">
        <v>233</v>
      </c>
      <c r="B236" s="77" t="inlineStr">
        <is>
          <t>Drone Pilot / Geospatial Surveyor</t>
        </is>
      </c>
      <c r="C236" s="78" t="inlineStr">
        <is>
          <t>Emerging</t>
        </is>
      </c>
      <c r="D236" s="76" t="n">
        <v>55</v>
      </c>
      <c r="E236" s="76" t="n">
        <v>74</v>
      </c>
      <c r="F236" s="76" t="n">
        <v>70</v>
      </c>
      <c r="G236" s="76" t="n">
        <v>74</v>
      </c>
      <c r="H236" s="76" t="n">
        <v>66</v>
      </c>
      <c r="I236" s="76">
        <f>ABS('Student Calculator'!C30-D236)</f>
        <v/>
      </c>
      <c r="J236" s="76">
        <f>ABS('Student Calculator'!D30-E236)</f>
        <v/>
      </c>
      <c r="K236" s="76">
        <f>ABS('Student Calculator'!E30-F236)</f>
        <v/>
      </c>
      <c r="L236" s="76">
        <f>ABS('Student Calculator'!F30-G236)</f>
        <v/>
      </c>
      <c r="M236" s="79">
        <f>ROUND(MAX(0, 100 - (I236*0.25 + J236*0.2 + K236*0.25 + L236*0.2)), 1)</f>
        <v/>
      </c>
      <c r="N236" s="80">
        <f>IF(M236&gt;=72,"🟢 BEST FIT",IF(M236&gt;=52,"🟡 CONSIDER","🔴 MISMATCH"))</f>
        <v/>
      </c>
      <c r="O236" s="81" t="inlineStr">
        <is>
          <t>Any degree + DGCA Remote Pilot Certificate</t>
        </is>
      </c>
      <c r="P236" s="92" t="inlineStr">
        <is>
          <t>Yes</t>
        </is>
      </c>
      <c r="Q236" s="81" t="inlineStr">
        <is>
          <t>DGCA RPC requires only Class 10 — no degree of any kind is needed</t>
        </is>
      </c>
      <c r="R236" s="81" t="inlineStr">
        <is>
          <t>ANY degree, or none</t>
        </is>
      </c>
    </row>
    <row r="237" ht="30" customHeight="1" s="63">
      <c r="A237" s="83" t="n">
        <v>234</v>
      </c>
      <c r="B237" s="84" t="inlineStr">
        <is>
          <t>Culinary Entrepreneur / Cloud Kitchen Owner</t>
        </is>
      </c>
      <c r="C237" s="85" t="inlineStr">
        <is>
          <t>Hospitality</t>
        </is>
      </c>
      <c r="D237" s="83" t="n">
        <v>62</v>
      </c>
      <c r="E237" s="83" t="n">
        <v>68</v>
      </c>
      <c r="F237" s="83" t="n">
        <v>74</v>
      </c>
      <c r="G237" s="83" t="n">
        <v>68</v>
      </c>
      <c r="H237" s="83" t="n">
        <v>66</v>
      </c>
      <c r="I237" s="83">
        <f>ABS('Student Calculator'!C30-D237)</f>
        <v/>
      </c>
      <c r="J237" s="83">
        <f>ABS('Student Calculator'!D30-E237)</f>
        <v/>
      </c>
      <c r="K237" s="83">
        <f>ABS('Student Calculator'!E30-F237)</f>
        <v/>
      </c>
      <c r="L237" s="83">
        <f>ABS('Student Calculator'!F30-G237)</f>
        <v/>
      </c>
      <c r="M237" s="86">
        <f>ROUND(MAX(0, 100 - (I237*0.25 + J237*0.2 + K237*0.25 + L237*0.2)), 1)</f>
        <v/>
      </c>
      <c r="N237" s="87">
        <f>IF(M237&gt;=72,"🟢 BEST FIT",IF(M237&gt;=52,"🟡 CONSIDER","🔴 MISMATCH"))</f>
        <v/>
      </c>
      <c r="O237" s="88" t="inlineStr">
        <is>
          <t>No degree required</t>
        </is>
      </c>
      <c r="P237" s="93" t="inlineStr">
        <is>
          <t>Yes</t>
        </is>
      </c>
      <c r="Q237" s="88" t="inlineStr">
        <is>
          <t>FSSAI licence plus cooking skill; a culinary diploma is optional</t>
        </is>
      </c>
      <c r="R237" s="88" t="inlineStr">
        <is>
          <t>ANY degree, or none</t>
        </is>
      </c>
    </row>
    <row r="238" ht="30" customHeight="1" s="63">
      <c r="A238" s="76" t="n">
        <v>235</v>
      </c>
      <c r="B238" s="77" t="inlineStr">
        <is>
          <t>Baker / Pâtissier</t>
        </is>
      </c>
      <c r="C238" s="78" t="inlineStr">
        <is>
          <t>Hospitality</t>
        </is>
      </c>
      <c r="D238" s="76" t="n">
        <v>55</v>
      </c>
      <c r="E238" s="76" t="n">
        <v>68</v>
      </c>
      <c r="F238" s="76" t="n">
        <v>76</v>
      </c>
      <c r="G238" s="76" t="n">
        <v>74</v>
      </c>
      <c r="H238" s="76" t="n">
        <v>64</v>
      </c>
      <c r="I238" s="76">
        <f>ABS('Student Calculator'!C30-D238)</f>
        <v/>
      </c>
      <c r="J238" s="76">
        <f>ABS('Student Calculator'!D30-E238)</f>
        <v/>
      </c>
      <c r="K238" s="76">
        <f>ABS('Student Calculator'!E30-F238)</f>
        <v/>
      </c>
      <c r="L238" s="76">
        <f>ABS('Student Calculator'!F30-G238)</f>
        <v/>
      </c>
      <c r="M238" s="79">
        <f>ROUND(MAX(0, 100 - (I238*0.25 + J238*0.2 + K238*0.25 + L238*0.2)), 1)</f>
        <v/>
      </c>
      <c r="N238" s="80">
        <f>IF(M238&gt;=72,"🟢 BEST FIT",IF(M238&gt;=52,"🟡 CONSIDER","🔴 MISMATCH"))</f>
        <v/>
      </c>
      <c r="O238" s="81" t="inlineStr">
        <is>
          <t>No degree required</t>
        </is>
      </c>
      <c r="P238" s="92" t="inlineStr">
        <is>
          <t>Yes</t>
        </is>
      </c>
      <c r="Q238" s="81" t="inlineStr">
        <is>
          <t>Bakery diploma (IHM, APCA) or a kitchen apprenticeship</t>
        </is>
      </c>
      <c r="R238" s="81" t="inlineStr">
        <is>
          <t>ANY degree, or none</t>
        </is>
      </c>
    </row>
    <row r="239" ht="30" customHeight="1" s="63">
      <c r="A239" s="83" t="n">
        <v>236</v>
      </c>
      <c r="B239" s="84" t="inlineStr">
        <is>
          <t>Sommelier / Beverage Specialist</t>
        </is>
      </c>
      <c r="C239" s="85" t="inlineStr">
        <is>
          <t>Hospitality</t>
        </is>
      </c>
      <c r="D239" s="83" t="n">
        <v>58</v>
      </c>
      <c r="E239" s="83" t="n">
        <v>70</v>
      </c>
      <c r="F239" s="83" t="n">
        <v>74</v>
      </c>
      <c r="G239" s="83" t="n">
        <v>74</v>
      </c>
      <c r="H239" s="83" t="n">
        <v>66</v>
      </c>
      <c r="I239" s="83">
        <f>ABS('Student Calculator'!C30-D239)</f>
        <v/>
      </c>
      <c r="J239" s="83">
        <f>ABS('Student Calculator'!D30-E239)</f>
        <v/>
      </c>
      <c r="K239" s="83">
        <f>ABS('Student Calculator'!E30-F239)</f>
        <v/>
      </c>
      <c r="L239" s="83">
        <f>ABS('Student Calculator'!F30-G239)</f>
        <v/>
      </c>
      <c r="M239" s="86">
        <f>ROUND(MAX(0, 100 - (I239*0.25 + J239*0.2 + K239*0.25 + L239*0.2)), 1)</f>
        <v/>
      </c>
      <c r="N239" s="87">
        <f>IF(M239&gt;=72,"🟢 BEST FIT",IF(M239&gt;=52,"🟡 CONSIDER","🔴 MISMATCH"))</f>
        <v/>
      </c>
      <c r="O239" s="88" t="inlineStr">
        <is>
          <t>No degree required</t>
        </is>
      </c>
      <c r="P239" s="93" t="inlineStr">
        <is>
          <t>Yes</t>
        </is>
      </c>
      <c r="Q239" s="88" t="inlineStr">
        <is>
          <t>WSET Level 1–4 certification</t>
        </is>
      </c>
      <c r="R239" s="88" t="inlineStr">
        <is>
          <t>ANY degree, or none</t>
        </is>
      </c>
    </row>
    <row r="240" ht="30" customHeight="1" s="63">
      <c r="A240" s="76" t="n">
        <v>237</v>
      </c>
      <c r="B240" s="77" t="inlineStr">
        <is>
          <t>Makeup Artist / Cosmetologist</t>
        </is>
      </c>
      <c r="C240" s="78" t="inlineStr">
        <is>
          <t>Creative</t>
        </is>
      </c>
      <c r="D240" s="76" t="n">
        <v>60</v>
      </c>
      <c r="E240" s="76" t="n">
        <v>64</v>
      </c>
      <c r="F240" s="76" t="n">
        <v>78</v>
      </c>
      <c r="G240" s="76" t="n">
        <v>74</v>
      </c>
      <c r="H240" s="76" t="n">
        <v>62</v>
      </c>
      <c r="I240" s="76">
        <f>ABS('Student Calculator'!C30-D240)</f>
        <v/>
      </c>
      <c r="J240" s="76">
        <f>ABS('Student Calculator'!D30-E240)</f>
        <v/>
      </c>
      <c r="K240" s="76">
        <f>ABS('Student Calculator'!E30-F240)</f>
        <v/>
      </c>
      <c r="L240" s="76">
        <f>ABS('Student Calculator'!F30-G240)</f>
        <v/>
      </c>
      <c r="M240" s="79">
        <f>ROUND(MAX(0, 100 - (I240*0.25 + J240*0.2 + K240*0.25 + L240*0.2)), 1)</f>
        <v/>
      </c>
      <c r="N240" s="80">
        <f>IF(M240&gt;=72,"🟢 BEST FIT",IF(M240&gt;=52,"🟡 CONSIDER","🔴 MISMATCH"))</f>
        <v/>
      </c>
      <c r="O240" s="81" t="inlineStr">
        <is>
          <t>No degree required</t>
        </is>
      </c>
      <c r="P240" s="92" t="inlineStr">
        <is>
          <t>Yes</t>
        </is>
      </c>
      <c r="Q240" s="81" t="inlineStr">
        <is>
          <t>Academy certification (Lakmé, VLCC, Pearl) plus a portfolio</t>
        </is>
      </c>
      <c r="R240" s="81" t="inlineStr">
        <is>
          <t>ANY degree, or none</t>
        </is>
      </c>
    </row>
    <row r="241" ht="30" customHeight="1" s="63">
      <c r="A241" s="83" t="n">
        <v>238</v>
      </c>
      <c r="B241" s="84" t="inlineStr">
        <is>
          <t>Salon &amp; Spa Entrepreneur</t>
        </is>
      </c>
      <c r="C241" s="85" t="inlineStr">
        <is>
          <t>Wellness</t>
        </is>
      </c>
      <c r="D241" s="83" t="n">
        <v>62</v>
      </c>
      <c r="E241" s="83" t="n">
        <v>68</v>
      </c>
      <c r="F241" s="83" t="n">
        <v>72</v>
      </c>
      <c r="G241" s="83" t="n">
        <v>64</v>
      </c>
      <c r="H241" s="83" t="n">
        <v>64</v>
      </c>
      <c r="I241" s="83">
        <f>ABS('Student Calculator'!C30-D241)</f>
        <v/>
      </c>
      <c r="J241" s="83">
        <f>ABS('Student Calculator'!D30-E241)</f>
        <v/>
      </c>
      <c r="K241" s="83">
        <f>ABS('Student Calculator'!E30-F241)</f>
        <v/>
      </c>
      <c r="L241" s="83">
        <f>ABS('Student Calculator'!F30-G241)</f>
        <v/>
      </c>
      <c r="M241" s="86">
        <f>ROUND(MAX(0, 100 - (I241*0.25 + J241*0.2 + K241*0.25 + L241*0.2)), 1)</f>
        <v/>
      </c>
      <c r="N241" s="87">
        <f>IF(M241&gt;=72,"🟢 BEST FIT",IF(M241&gt;=52,"🟡 CONSIDER","🔴 MISMATCH"))</f>
        <v/>
      </c>
      <c r="O241" s="88" t="inlineStr">
        <is>
          <t>No degree required</t>
        </is>
      </c>
      <c r="P241" s="93" t="inlineStr">
        <is>
          <t>Yes</t>
        </is>
      </c>
      <c r="Q241" s="88" t="inlineStr">
        <is>
          <t>Beauty therapy certification plus a trade licence</t>
        </is>
      </c>
      <c r="R241" s="88" t="inlineStr">
        <is>
          <t>ANY degree, or none</t>
        </is>
      </c>
    </row>
    <row r="242" ht="30" customHeight="1" s="63">
      <c r="A242" s="76" t="n">
        <v>239</v>
      </c>
      <c r="B242" s="77" t="inlineStr">
        <is>
          <t>Tattoo Artist</t>
        </is>
      </c>
      <c r="C242" s="78" t="inlineStr">
        <is>
          <t>Creative</t>
        </is>
      </c>
      <c r="D242" s="76" t="n">
        <v>55</v>
      </c>
      <c r="E242" s="76" t="n">
        <v>62</v>
      </c>
      <c r="F242" s="76" t="n">
        <v>80</v>
      </c>
      <c r="G242" s="76" t="n">
        <v>78</v>
      </c>
      <c r="H242" s="76" t="n">
        <v>60</v>
      </c>
      <c r="I242" s="76">
        <f>ABS('Student Calculator'!C30-D242)</f>
        <v/>
      </c>
      <c r="J242" s="76">
        <f>ABS('Student Calculator'!D30-E242)</f>
        <v/>
      </c>
      <c r="K242" s="76">
        <f>ABS('Student Calculator'!E30-F242)</f>
        <v/>
      </c>
      <c r="L242" s="76">
        <f>ABS('Student Calculator'!F30-G242)</f>
        <v/>
      </c>
      <c r="M242" s="79">
        <f>ROUND(MAX(0, 100 - (I242*0.25 + J242*0.2 + K242*0.25 + L242*0.2)), 1)</f>
        <v/>
      </c>
      <c r="N242" s="80">
        <f>IF(M242&gt;=72,"🟢 BEST FIT",IF(M242&gt;=52,"🟡 CONSIDER","🔴 MISMATCH"))</f>
        <v/>
      </c>
      <c r="O242" s="81" t="inlineStr">
        <is>
          <t>No degree required</t>
        </is>
      </c>
      <c r="P242" s="92" t="inlineStr">
        <is>
          <t>Yes</t>
        </is>
      </c>
      <c r="Q242" s="81" t="inlineStr">
        <is>
          <t>Apprenticeship under a licensed artist; entirely portfolio-led</t>
        </is>
      </c>
      <c r="R242" s="81" t="inlineStr">
        <is>
          <t>ANY degree, or none</t>
        </is>
      </c>
    </row>
    <row r="243" ht="30" customHeight="1" s="63">
      <c r="A243" s="83" t="n">
        <v>240</v>
      </c>
      <c r="B243" s="84" t="inlineStr">
        <is>
          <t>D2C Brand Founder</t>
        </is>
      </c>
      <c r="C243" s="85" t="inlineStr">
        <is>
          <t>Emerging</t>
        </is>
      </c>
      <c r="D243" s="83" t="n">
        <v>62</v>
      </c>
      <c r="E243" s="83" t="n">
        <v>70</v>
      </c>
      <c r="F243" s="83" t="n">
        <v>76</v>
      </c>
      <c r="G243" s="83" t="n">
        <v>72</v>
      </c>
      <c r="H243" s="83" t="n">
        <v>68</v>
      </c>
      <c r="I243" s="83">
        <f>ABS('Student Calculator'!C30-D243)</f>
        <v/>
      </c>
      <c r="J243" s="83">
        <f>ABS('Student Calculator'!D30-E243)</f>
        <v/>
      </c>
      <c r="K243" s="83">
        <f>ABS('Student Calculator'!E30-F243)</f>
        <v/>
      </c>
      <c r="L243" s="83">
        <f>ABS('Student Calculator'!F30-G243)</f>
        <v/>
      </c>
      <c r="M243" s="86">
        <f>ROUND(MAX(0, 100 - (I243*0.25 + J243*0.2 + K243*0.25 + L243*0.2)), 1)</f>
        <v/>
      </c>
      <c r="N243" s="87">
        <f>IF(M243&gt;=72,"🟢 BEST FIT",IF(M243&gt;=52,"🟡 CONSIDER","🔴 MISMATCH"))</f>
        <v/>
      </c>
      <c r="O243" s="88" t="inlineStr">
        <is>
          <t>No degree required</t>
        </is>
      </c>
      <c r="P243" s="93" t="inlineStr">
        <is>
          <t>Yes</t>
        </is>
      </c>
      <c r="Q243" s="88" t="inlineStr">
        <is>
          <t>Build a product and sell online — there is no formal route</t>
        </is>
      </c>
      <c r="R243" s="88" t="inlineStr">
        <is>
          <t>ANY degree, or none</t>
        </is>
      </c>
    </row>
    <row r="244" ht="30" customHeight="1" s="63">
      <c r="A244" s="76" t="n">
        <v>241</v>
      </c>
      <c r="B244" s="77" t="inlineStr">
        <is>
          <t>Professional Esports Player</t>
        </is>
      </c>
      <c r="C244" s="78" t="inlineStr">
        <is>
          <t>Sports</t>
        </is>
      </c>
      <c r="D244" s="76" t="n">
        <v>55</v>
      </c>
      <c r="E244" s="76" t="n">
        <v>60</v>
      </c>
      <c r="F244" s="76" t="n">
        <v>82</v>
      </c>
      <c r="G244" s="76" t="n">
        <v>78</v>
      </c>
      <c r="H244" s="76" t="n">
        <v>58</v>
      </c>
      <c r="I244" s="76">
        <f>ABS('Student Calculator'!C30-D244)</f>
        <v/>
      </c>
      <c r="J244" s="76">
        <f>ABS('Student Calculator'!D30-E244)</f>
        <v/>
      </c>
      <c r="K244" s="76">
        <f>ABS('Student Calculator'!E30-F244)</f>
        <v/>
      </c>
      <c r="L244" s="76">
        <f>ABS('Student Calculator'!F30-G244)</f>
        <v/>
      </c>
      <c r="M244" s="79">
        <f>ROUND(MAX(0, 100 - (I244*0.25 + J244*0.2 + K244*0.25 + L244*0.2)), 1)</f>
        <v/>
      </c>
      <c r="N244" s="80">
        <f>IF(M244&gt;=72,"🟢 BEST FIT",IF(M244&gt;=52,"🟡 CONSIDER","🔴 MISMATCH"))</f>
        <v/>
      </c>
      <c r="O244" s="81" t="inlineStr">
        <is>
          <t>No degree required</t>
        </is>
      </c>
      <c r="P244" s="92" t="inlineStr">
        <is>
          <t>Yes</t>
        </is>
      </c>
      <c r="Q244" s="81" t="inlineStr">
        <is>
          <t>Ranked-ladder performance leading to team tryouts</t>
        </is>
      </c>
      <c r="R244" s="81" t="inlineStr">
        <is>
          <t>ANY degree, or none</t>
        </is>
      </c>
    </row>
    <row r="245" ht="30" customHeight="1" s="63">
      <c r="A245" s="83" t="n">
        <v>242</v>
      </c>
      <c r="B245" s="84" t="inlineStr">
        <is>
          <t>Sports Analytics Specialist</t>
        </is>
      </c>
      <c r="C245" s="85" t="inlineStr">
        <is>
          <t>Sports</t>
        </is>
      </c>
      <c r="D245" s="83" t="n">
        <v>48</v>
      </c>
      <c r="E245" s="83" t="n">
        <v>74</v>
      </c>
      <c r="F245" s="83" t="n">
        <v>74</v>
      </c>
      <c r="G245" s="83" t="n">
        <v>80</v>
      </c>
      <c r="H245" s="83" t="n">
        <v>68</v>
      </c>
      <c r="I245" s="83">
        <f>ABS('Student Calculator'!C30-D245)</f>
        <v/>
      </c>
      <c r="J245" s="83">
        <f>ABS('Student Calculator'!D30-E245)</f>
        <v/>
      </c>
      <c r="K245" s="83">
        <f>ABS('Student Calculator'!E30-F245)</f>
        <v/>
      </c>
      <c r="L245" s="83">
        <f>ABS('Student Calculator'!F30-G245)</f>
        <v/>
      </c>
      <c r="M245" s="86">
        <f>ROUND(MAX(0, 100 - (I245*0.25 + J245*0.2 + K245*0.25 + L245*0.2)), 1)</f>
        <v/>
      </c>
      <c r="N245" s="87">
        <f>IF(M245&gt;=72,"🟢 BEST FIT",IF(M245&gt;=52,"🟡 CONSIDER","🔴 MISMATCH"))</f>
        <v/>
      </c>
      <c r="O245" s="88" t="inlineStr">
        <is>
          <t>Any degree + statistics &amp; coding</t>
        </is>
      </c>
      <c r="P245" s="93" t="inlineStr">
        <is>
          <t>Yes</t>
        </is>
      </c>
      <c r="Q245" s="88" t="inlineStr">
        <is>
          <t>Python/R plus a public analysis portfolio; there is no formal route into this field</t>
        </is>
      </c>
      <c r="R245" s="88" t="inlineStr">
        <is>
          <t>Statistics, Engineering, Economics, ANY degree</t>
        </is>
      </c>
    </row>
    <row r="246" ht="30" customHeight="1" s="63">
      <c r="A246" s="76" t="n">
        <v>243</v>
      </c>
      <c r="B246" s="77" t="inlineStr">
        <is>
          <t>Talent Manager / Artist Manager</t>
        </is>
      </c>
      <c r="C246" s="78" t="inlineStr">
        <is>
          <t>Creative</t>
        </is>
      </c>
      <c r="D246" s="76" t="n">
        <v>64</v>
      </c>
      <c r="E246" s="76" t="n">
        <v>68</v>
      </c>
      <c r="F246" s="76" t="n">
        <v>72</v>
      </c>
      <c r="G246" s="76" t="n">
        <v>68</v>
      </c>
      <c r="H246" s="76" t="n">
        <v>66</v>
      </c>
      <c r="I246" s="76">
        <f>ABS('Student Calculator'!C30-D246)</f>
        <v/>
      </c>
      <c r="J246" s="76">
        <f>ABS('Student Calculator'!D30-E246)</f>
        <v/>
      </c>
      <c r="K246" s="76">
        <f>ABS('Student Calculator'!E30-F246)</f>
        <v/>
      </c>
      <c r="L246" s="76">
        <f>ABS('Student Calculator'!F30-G246)</f>
        <v/>
      </c>
      <c r="M246" s="79">
        <f>ROUND(MAX(0, 100 - (I246*0.25 + J246*0.2 + K246*0.25 + L246*0.2)), 1)</f>
        <v/>
      </c>
      <c r="N246" s="80">
        <f>IF(M246&gt;=72,"🟢 BEST FIT",IF(M246&gt;=52,"🟡 CONSIDER","🔴 MISMATCH"))</f>
        <v/>
      </c>
      <c r="O246" s="81" t="inlineStr">
        <is>
          <t>Any bachelor's degree</t>
        </is>
      </c>
      <c r="P246" s="92" t="inlineStr">
        <is>
          <t>Yes</t>
        </is>
      </c>
      <c r="Q246" s="81" t="inlineStr">
        <is>
          <t>Agency assistant route; relationship-led with no formal gate</t>
        </is>
      </c>
      <c r="R246" s="81" t="inlineStr">
        <is>
          <t>ANY degree</t>
        </is>
      </c>
    </row>
    <row r="247" ht="30" customHeight="1" s="63">
      <c r="A247" s="83" t="n">
        <v>244</v>
      </c>
      <c r="B247" s="84" t="inlineStr">
        <is>
          <t>Casting Director</t>
        </is>
      </c>
      <c r="C247" s="85" t="inlineStr">
        <is>
          <t>Creative</t>
        </is>
      </c>
      <c r="D247" s="83" t="n">
        <v>62</v>
      </c>
      <c r="E247" s="83" t="n">
        <v>68</v>
      </c>
      <c r="F247" s="83" t="n">
        <v>74</v>
      </c>
      <c r="G247" s="83" t="n">
        <v>74</v>
      </c>
      <c r="H247" s="83" t="n">
        <v>66</v>
      </c>
      <c r="I247" s="83">
        <f>ABS('Student Calculator'!C30-D247)</f>
        <v/>
      </c>
      <c r="J247" s="83">
        <f>ABS('Student Calculator'!D30-E247)</f>
        <v/>
      </c>
      <c r="K247" s="83">
        <f>ABS('Student Calculator'!E30-F247)</f>
        <v/>
      </c>
      <c r="L247" s="83">
        <f>ABS('Student Calculator'!F30-G247)</f>
        <v/>
      </c>
      <c r="M247" s="86">
        <f>ROUND(MAX(0, 100 - (I247*0.25 + J247*0.2 + K247*0.25 + L247*0.2)), 1)</f>
        <v/>
      </c>
      <c r="N247" s="87">
        <f>IF(M247&gt;=72,"🟢 BEST FIT",IF(M247&gt;=52,"🟡 CONSIDER","🔴 MISMATCH"))</f>
        <v/>
      </c>
      <c r="O247" s="88" t="inlineStr">
        <is>
          <t>Any bachelor's degree</t>
        </is>
      </c>
      <c r="P247" s="93" t="inlineStr">
        <is>
          <t>Yes</t>
        </is>
      </c>
      <c r="Q247" s="88" t="inlineStr">
        <is>
          <t>Casting assistant apprenticeship</t>
        </is>
      </c>
      <c r="R247" s="88" t="inlineStr">
        <is>
          <t>ANY degree</t>
        </is>
      </c>
    </row>
    <row r="248" ht="30" customHeight="1" s="63">
      <c r="A248" s="76" t="n">
        <v>245</v>
      </c>
      <c r="B248" s="77" t="inlineStr">
        <is>
          <t>Sound Engineer</t>
        </is>
      </c>
      <c r="C248" s="78" t="inlineStr">
        <is>
          <t>Creative</t>
        </is>
      </c>
      <c r="D248" s="76" t="n">
        <v>52</v>
      </c>
      <c r="E248" s="76" t="n">
        <v>68</v>
      </c>
      <c r="F248" s="76" t="n">
        <v>76</v>
      </c>
      <c r="G248" s="76" t="n">
        <v>80</v>
      </c>
      <c r="H248" s="76" t="n">
        <v>64</v>
      </c>
      <c r="I248" s="76">
        <f>ABS('Student Calculator'!C30-D248)</f>
        <v/>
      </c>
      <c r="J248" s="76">
        <f>ABS('Student Calculator'!D30-E248)</f>
        <v/>
      </c>
      <c r="K248" s="76">
        <f>ABS('Student Calculator'!E30-F248)</f>
        <v/>
      </c>
      <c r="L248" s="76">
        <f>ABS('Student Calculator'!F30-G248)</f>
        <v/>
      </c>
      <c r="M248" s="79">
        <f>ROUND(MAX(0, 100 - (I248*0.25 + J248*0.2 + K248*0.25 + L248*0.2)), 1)</f>
        <v/>
      </c>
      <c r="N248" s="80">
        <f>IF(M248&gt;=72,"🟢 BEST FIT",IF(M248&gt;=52,"🟡 CONSIDER","🔴 MISMATCH"))</f>
        <v/>
      </c>
      <c r="O248" s="81" t="inlineStr">
        <is>
          <t>Any degree + audio diploma</t>
        </is>
      </c>
      <c r="P248" s="92" t="inlineStr">
        <is>
          <t>Yes</t>
        </is>
      </c>
      <c r="Q248" s="81" t="inlineStr">
        <is>
          <t>SAE or audio-engineering diploma; studio assistant route</t>
        </is>
      </c>
      <c r="R248" s="81" t="inlineStr">
        <is>
          <t>ANY degree, or none</t>
        </is>
      </c>
    </row>
    <row r="249" ht="30" customHeight="1" s="63">
      <c r="A249" s="83" t="n">
        <v>246</v>
      </c>
      <c r="B249" s="84" t="inlineStr">
        <is>
          <t>Cinematographer</t>
        </is>
      </c>
      <c r="C249" s="85" t="inlineStr">
        <is>
          <t>Creative</t>
        </is>
      </c>
      <c r="D249" s="83" t="n">
        <v>55</v>
      </c>
      <c r="E249" s="83" t="n">
        <v>66</v>
      </c>
      <c r="F249" s="83" t="n">
        <v>78</v>
      </c>
      <c r="G249" s="83" t="n">
        <v>80</v>
      </c>
      <c r="H249" s="83" t="n">
        <v>64</v>
      </c>
      <c r="I249" s="83">
        <f>ABS('Student Calculator'!C30-D249)</f>
        <v/>
      </c>
      <c r="J249" s="83">
        <f>ABS('Student Calculator'!D30-E249)</f>
        <v/>
      </c>
      <c r="K249" s="83">
        <f>ABS('Student Calculator'!E30-F249)</f>
        <v/>
      </c>
      <c r="L249" s="83">
        <f>ABS('Student Calculator'!F30-G249)</f>
        <v/>
      </c>
      <c r="M249" s="86">
        <f>ROUND(MAX(0, 100 - (I249*0.25 + J249*0.2 + K249*0.25 + L249*0.2)), 1)</f>
        <v/>
      </c>
      <c r="N249" s="87">
        <f>IF(M249&gt;=72,"🟢 BEST FIT",IF(M249&gt;=52,"🟡 CONSIDER","🔴 MISMATCH"))</f>
        <v/>
      </c>
      <c r="O249" s="88" t="inlineStr">
        <is>
          <t>BA Film or any degree</t>
        </is>
      </c>
      <c r="P249" s="93" t="inlineStr">
        <is>
          <t>Yes</t>
        </is>
      </c>
      <c r="Q249" s="88" t="inlineStr">
        <is>
          <t>FTII/SRFTI cinematography (open to any graduate); camera-assistant apprenticeship</t>
        </is>
      </c>
      <c r="R249" s="88" t="inlineStr">
        <is>
          <t>ANY degree</t>
        </is>
      </c>
    </row>
    <row r="250" ht="30" customHeight="1" s="63">
      <c r="A250" s="76" t="n">
        <v>247</v>
      </c>
      <c r="B250" s="77" t="inlineStr">
        <is>
          <t>Film Editor</t>
        </is>
      </c>
      <c r="C250" s="78" t="inlineStr">
        <is>
          <t>Creative</t>
        </is>
      </c>
      <c r="D250" s="76" t="n">
        <v>50</v>
      </c>
      <c r="E250" s="76" t="n">
        <v>70</v>
      </c>
      <c r="F250" s="76" t="n">
        <v>76</v>
      </c>
      <c r="G250" s="76" t="n">
        <v>80</v>
      </c>
      <c r="H250" s="76" t="n">
        <v>64</v>
      </c>
      <c r="I250" s="76">
        <f>ABS('Student Calculator'!C30-D250)</f>
        <v/>
      </c>
      <c r="J250" s="76">
        <f>ABS('Student Calculator'!D30-E250)</f>
        <v/>
      </c>
      <c r="K250" s="76">
        <f>ABS('Student Calculator'!E30-F250)</f>
        <v/>
      </c>
      <c r="L250" s="76">
        <f>ABS('Student Calculator'!F30-G250)</f>
        <v/>
      </c>
      <c r="M250" s="79">
        <f>ROUND(MAX(0, 100 - (I250*0.25 + J250*0.2 + K250*0.25 + L250*0.2)), 1)</f>
        <v/>
      </c>
      <c r="N250" s="80">
        <f>IF(M250&gt;=72,"🟢 BEST FIT",IF(M250&gt;=52,"🟡 CONSIDER","🔴 MISMATCH"))</f>
        <v/>
      </c>
      <c r="O250" s="81" t="inlineStr">
        <is>
          <t>Any degree + editing skills</t>
        </is>
      </c>
      <c r="P250" s="92" t="inlineStr">
        <is>
          <t>Yes</t>
        </is>
      </c>
      <c r="Q250" s="81" t="inlineStr">
        <is>
          <t>Software skill plus a showreel; assistant-editor route</t>
        </is>
      </c>
      <c r="R250" s="81" t="inlineStr">
        <is>
          <t>ANY degree, or none</t>
        </is>
      </c>
    </row>
    <row r="251" ht="30" customHeight="1" s="63">
      <c r="A251" s="83" t="n">
        <v>248</v>
      </c>
      <c r="B251" s="84" t="inlineStr">
        <is>
          <t>Production Designer / Art Director</t>
        </is>
      </c>
      <c r="C251" s="85" t="inlineStr">
        <is>
          <t>Creative</t>
        </is>
      </c>
      <c r="D251" s="83" t="n">
        <v>58</v>
      </c>
      <c r="E251" s="83" t="n">
        <v>68</v>
      </c>
      <c r="F251" s="83" t="n">
        <v>76</v>
      </c>
      <c r="G251" s="83" t="n">
        <v>80</v>
      </c>
      <c r="H251" s="83" t="n">
        <v>66</v>
      </c>
      <c r="I251" s="83">
        <f>ABS('Student Calculator'!C30-D251)</f>
        <v/>
      </c>
      <c r="J251" s="83">
        <f>ABS('Student Calculator'!D30-E251)</f>
        <v/>
      </c>
      <c r="K251" s="83">
        <f>ABS('Student Calculator'!E30-F251)</f>
        <v/>
      </c>
      <c r="L251" s="83">
        <f>ABS('Student Calculator'!F30-G251)</f>
        <v/>
      </c>
      <c r="M251" s="86">
        <f>ROUND(MAX(0, 100 - (I251*0.25 + J251*0.2 + K251*0.25 + L251*0.2)), 1)</f>
        <v/>
      </c>
      <c r="N251" s="87">
        <f>IF(M251&gt;=72,"🟢 BEST FIT",IF(M251&gt;=52,"🟡 CONSIDER","🔴 MISMATCH"))</f>
        <v/>
      </c>
      <c r="O251" s="88" t="inlineStr">
        <is>
          <t>B.Des / BFA / B.Arch</t>
        </is>
      </c>
      <c r="P251" s="93" t="inlineStr">
        <is>
          <t>Yes</t>
        </is>
      </c>
      <c r="Q251" s="88" t="inlineStr">
        <is>
          <t>Art-department assistant route; architecture and fine-arts graduates are common here</t>
        </is>
      </c>
      <c r="R251" s="88" t="inlineStr">
        <is>
          <t>B.Arch, Fine Arts, Design, ANY degree</t>
        </is>
      </c>
    </row>
    <row r="252" ht="30" customHeight="1" s="63">
      <c r="A252" s="76" t="n">
        <v>249</v>
      </c>
      <c r="B252" s="77" t="inlineStr">
        <is>
          <t>EV / Battery Technology Specialist</t>
        </is>
      </c>
      <c r="C252" s="78" t="inlineStr">
        <is>
          <t>Emerging</t>
        </is>
      </c>
      <c r="D252" s="76" t="n">
        <v>50</v>
      </c>
      <c r="E252" s="76" t="n">
        <v>76</v>
      </c>
      <c r="F252" s="76" t="n">
        <v>72</v>
      </c>
      <c r="G252" s="76" t="n">
        <v>78</v>
      </c>
      <c r="H252" s="76" t="n">
        <v>70</v>
      </c>
      <c r="I252" s="76">
        <f>ABS('Student Calculator'!C30-D252)</f>
        <v/>
      </c>
      <c r="J252" s="76">
        <f>ABS('Student Calculator'!D30-E252)</f>
        <v/>
      </c>
      <c r="K252" s="76">
        <f>ABS('Student Calculator'!E30-F252)</f>
        <v/>
      </c>
      <c r="L252" s="76">
        <f>ABS('Student Calculator'!F30-G252)</f>
        <v/>
      </c>
      <c r="M252" s="79">
        <f>ROUND(MAX(0, 100 - (I252*0.25 + J252*0.2 + K252*0.25 + L252*0.2)), 1)</f>
        <v/>
      </c>
      <c r="N252" s="80">
        <f>IF(M252&gt;=72,"🟢 BEST FIT",IF(M252&gt;=52,"🟡 CONSIDER","🔴 MISMATCH"))</f>
        <v/>
      </c>
      <c r="O252" s="81" t="inlineStr">
        <is>
          <t>B.Tech Mechanical/Electrical/Chemical</t>
        </is>
      </c>
      <c r="P252" s="90" t="inlineStr">
        <is>
          <t>Partly</t>
        </is>
      </c>
      <c r="Q252" s="81" t="inlineStr">
        <is>
          <t>M.Tech or a certification in EV technology; a common pivot from automotive or electronics</t>
        </is>
      </c>
      <c r="R252" s="81" t="inlineStr">
        <is>
          <t>BE Mech/Elec/ECE/Chemical, M.Sc Chemistry</t>
        </is>
      </c>
    </row>
    <row r="253" ht="30" customHeight="1" s="63">
      <c r="A253" s="83" t="n">
        <v>250</v>
      </c>
      <c r="B253" s="84" t="inlineStr">
        <is>
          <t>Semiconductor Process Engineer</t>
        </is>
      </c>
      <c r="C253" s="85" t="inlineStr">
        <is>
          <t>Emerging</t>
        </is>
      </c>
      <c r="D253" s="83" t="n">
        <v>48</v>
      </c>
      <c r="E253" s="83" t="n">
        <v>80</v>
      </c>
      <c r="F253" s="83" t="n">
        <v>70</v>
      </c>
      <c r="G253" s="83" t="n">
        <v>80</v>
      </c>
      <c r="H253" s="83" t="n">
        <v>70</v>
      </c>
      <c r="I253" s="83">
        <f>ABS('Student Calculator'!C30-D253)</f>
        <v/>
      </c>
      <c r="J253" s="83">
        <f>ABS('Student Calculator'!D30-E253)</f>
        <v/>
      </c>
      <c r="K253" s="83">
        <f>ABS('Student Calculator'!E30-F253)</f>
        <v/>
      </c>
      <c r="L253" s="83">
        <f>ABS('Student Calculator'!F30-G253)</f>
        <v/>
      </c>
      <c r="M253" s="86">
        <f>ROUND(MAX(0, 100 - (I253*0.25 + J253*0.2 + K253*0.25 + L253*0.2)), 1)</f>
        <v/>
      </c>
      <c r="N253" s="87">
        <f>IF(M253&gt;=72,"🟢 BEST FIT",IF(M253&gt;=52,"🟡 CONSIDER","🔴 MISMATCH"))</f>
        <v/>
      </c>
      <c r="O253" s="88" t="inlineStr">
        <is>
          <t>B.Tech ECE/Electrical/Materials</t>
        </is>
      </c>
      <c r="P253" s="91" t="inlineStr">
        <is>
          <t>Partly</t>
        </is>
      </c>
      <c r="Q253" s="88" t="inlineStr">
        <is>
          <t>M.Tech VLSI or Microelectronics via GATE; India Semiconductor Mission training programmes</t>
        </is>
      </c>
      <c r="R253" s="88" t="inlineStr">
        <is>
          <t>BE ECE/EEE/Materials/Chemical, M.Sc Physics</t>
        </is>
      </c>
    </row>
    <row r="254" ht="30" customHeight="1" s="63">
      <c r="A254" s="76" t="n">
        <v>251</v>
      </c>
      <c r="B254" s="77" t="inlineStr">
        <is>
          <t>AI Ethics &amp; Policy Analyst</t>
        </is>
      </c>
      <c r="C254" s="78" t="inlineStr">
        <is>
          <t>Emerging</t>
        </is>
      </c>
      <c r="D254" s="76" t="n">
        <v>55</v>
      </c>
      <c r="E254" s="76" t="n">
        <v>74</v>
      </c>
      <c r="F254" s="76" t="n">
        <v>80</v>
      </c>
      <c r="G254" s="76" t="n">
        <v>78</v>
      </c>
      <c r="H254" s="76" t="n">
        <v>72</v>
      </c>
      <c r="I254" s="76">
        <f>ABS('Student Calculator'!C30-D254)</f>
        <v/>
      </c>
      <c r="J254" s="76">
        <f>ABS('Student Calculator'!D30-E254)</f>
        <v/>
      </c>
      <c r="K254" s="76">
        <f>ABS('Student Calculator'!E30-F254)</f>
        <v/>
      </c>
      <c r="L254" s="76">
        <f>ABS('Student Calculator'!F30-G254)</f>
        <v/>
      </c>
      <c r="M254" s="79">
        <f>ROUND(MAX(0, 100 - (I254*0.25 + J254*0.2 + K254*0.25 + L254*0.2)), 1)</f>
        <v/>
      </c>
      <c r="N254" s="80">
        <f>IF(M254&gt;=72,"🟢 BEST FIT",IF(M254&gt;=52,"🟡 CONSIDER","🔴 MISMATCH"))</f>
        <v/>
      </c>
      <c r="O254" s="81" t="inlineStr">
        <is>
          <t>Any degree + policy and tech literacy</t>
        </is>
      </c>
      <c r="P254" s="92" t="inlineStr">
        <is>
          <t>Yes</t>
        </is>
      </c>
      <c r="Q254" s="81" t="inlineStr">
        <is>
          <t>MA Public Policy or a law degree combined with AI literacy; think-tank research route</t>
        </is>
      </c>
      <c r="R254" s="81" t="inlineStr">
        <is>
          <t>Law, Philosophy, Engineering, Policy, ANY degree</t>
        </is>
      </c>
    </row>
    <row r="255" ht="30" customHeight="1" s="63">
      <c r="A255" s="83" t="n">
        <v>252</v>
      </c>
      <c r="B255" s="84" t="inlineStr">
        <is>
          <t>Agritech Business Manager</t>
        </is>
      </c>
      <c r="C255" s="85" t="inlineStr">
        <is>
          <t>Emerging</t>
        </is>
      </c>
      <c r="D255" s="83" t="n">
        <v>58</v>
      </c>
      <c r="E255" s="83" t="n">
        <v>72</v>
      </c>
      <c r="F255" s="83" t="n">
        <v>74</v>
      </c>
      <c r="G255" s="83" t="n">
        <v>70</v>
      </c>
      <c r="H255" s="83" t="n">
        <v>68</v>
      </c>
      <c r="I255" s="83">
        <f>ABS('Student Calculator'!C30-D255)</f>
        <v/>
      </c>
      <c r="J255" s="83">
        <f>ABS('Student Calculator'!D30-E255)</f>
        <v/>
      </c>
      <c r="K255" s="83">
        <f>ABS('Student Calculator'!E30-F255)</f>
        <v/>
      </c>
      <c r="L255" s="83">
        <f>ABS('Student Calculator'!F30-G255)</f>
        <v/>
      </c>
      <c r="M255" s="86">
        <f>ROUND(MAX(0, 100 - (I255*0.25 + J255*0.2 + K255*0.25 + L255*0.2)), 1)</f>
        <v/>
      </c>
      <c r="N255" s="87">
        <f>IF(M255&gt;=72,"🟢 BEST FIT",IF(M255&gt;=52,"🟡 CONSIDER","🔴 MISMATCH"))</f>
        <v/>
      </c>
      <c r="O255" s="88" t="inlineStr">
        <is>
          <t>B.Sc Agriculture or any degree + MBA Agribusiness</t>
        </is>
      </c>
      <c r="P255" s="93" t="inlineStr">
        <is>
          <t>Yes</t>
        </is>
      </c>
      <c r="Q255" s="88" t="inlineStr">
        <is>
          <t>MBA Agribusiness (IIM-A FABM, IARI, NIAM) is open to ANY graduate</t>
        </is>
      </c>
      <c r="R255" s="88" t="inlineStr">
        <is>
          <t>B.Sc Agriculture, BE, B.Com, ANY degree</t>
        </is>
      </c>
    </row>
  </sheetData>
  <autoFilter ref="A3:R255"/>
  <mergeCells count="2">
    <mergeCell ref="A2:R2"/>
    <mergeCell ref="A1:R1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style="63" min="1" max="1"/>
    <col width="30" customWidth="1" style="63" min="2" max="2"/>
    <col width="44" customWidth="1" style="63" min="3" max="3"/>
    <col width="60" customWidth="1" style="63" min="4" max="4"/>
    <col width="62" customWidth="1" style="63" min="5" max="5"/>
    <col width="44" customWidth="1" style="63" min="6" max="6"/>
    <col width="15" customWidth="1" style="63" min="7" max="7"/>
  </cols>
  <sheetData>
    <row r="1" ht="30" customHeight="1" s="63">
      <c r="A1" s="94" t="inlineStr">
        <is>
          <t>LOCUS — DEGREE → CAREER PIVOT MAP  ·  what you can become that is NOT what your bachelor's was for</t>
        </is>
      </c>
    </row>
    <row r="2" ht="32" customHeight="1" s="63">
      <c r="A2" s="95" t="inlineStr">
        <is>
          <t>DIRECT-LINE = what the degree was designed for.   ADJACENT PIVOT = a short bridge (certification or 1-yr PG) using what you already know.   FULL PIVOT = open to ANY graduate, your degree is irrelevant.   Use this alongside the Fit Score — psychometric fit decides WHICH pivot, this sheet decides IF it is reachable.   Rows with a Topology ID join directly onto docs/career-topology.json.</t>
        </is>
      </c>
    </row>
    <row r="3" ht="30" customHeight="1" s="63">
      <c r="A3" s="75" t="inlineStr">
        <is>
          <t>Your Bachelor's Degree</t>
        </is>
      </c>
      <c r="B3" s="75" t="inlineStr">
        <is>
          <t>Topology Degree ID</t>
        </is>
      </c>
      <c r="C3" s="75" t="inlineStr">
        <is>
          <t>Direct-Line Careers</t>
        </is>
      </c>
      <c r="D3" s="75" t="inlineStr">
        <is>
          <t>Adjacent Pivots (short bridge)</t>
        </is>
      </c>
      <c r="E3" s="75" t="inlineStr">
        <is>
          <t>Full Pivots (open to ANY degree)</t>
        </is>
      </c>
      <c r="F3" s="75" t="inlineStr">
        <is>
          <t>Bridge Qualification / Exam</t>
        </is>
      </c>
      <c r="G3" s="75" t="inlineStr">
        <is>
          <t>Time to Pivot</t>
        </is>
      </c>
    </row>
    <row r="4" ht="88" customHeight="1" s="63">
      <c r="A4" s="96" t="inlineStr">
        <is>
          <t>B.Sc. Nursing</t>
        </is>
      </c>
      <c r="B4" s="97" t="inlineStr">
        <is>
          <t>b-sc-nursing</t>
        </is>
      </c>
      <c r="C4" s="98" t="inlineStr">
        <is>
          <t>Staff Nurse · ICU/OT/NICU specialist · Nursing Officer (AIIMS, ESIC, Railways) · Nurse Practitioner (M.Sc) · Nursing Faculty</t>
        </is>
      </c>
      <c r="D4" s="98" t="inlineStr">
        <is>
          <t>Clinical Research Associate · Pharmacovigilance Associate · Medical Coder (CPC) · Medical Writer · Infection Control Nurse · Nursing Informatics · Public Health Nurse · Genetic Counsellor (M.Sc) · Lactation Consultant</t>
        </is>
      </c>
      <c r="E4" s="98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</t>
        </is>
      </c>
      <c r="F4" s="98" t="inlineStr">
        <is>
          <t>M.Sc Nursing · NCAHP registration to practise · PG Dip Clinical Research (55%) · CPC coding (AAPC) · MPH / MHA · UPSC CSE · IBPS PO · CAT → MBA</t>
        </is>
      </c>
      <c r="G4" s="98" t="inlineStr">
        <is>
          <t>6 months – 2 years</t>
        </is>
      </c>
    </row>
    <row r="5" ht="88" customHeight="1" s="63">
      <c r="A5" s="99" t="inlineStr">
        <is>
          <t>Bachelor of Pharmacy (B.Pharm)</t>
        </is>
      </c>
      <c r="B5" s="100" t="inlineStr">
        <is>
          <t>bachelor-of-pharmacy-b-pharm</t>
        </is>
      </c>
      <c r="C5" s="101" t="inlineStr">
        <is>
          <t>Registered Pharmacist · Production &amp; QA/QC · Regulatory Affairs · Drug Inspector (state exam) · M.Pharm (GPAT) · Community/hospital pharmacy</t>
        </is>
      </c>
      <c r="D5" s="101" t="inlineStr">
        <is>
          <t>Clinical Research Associate · Pharmacovigilance Associate · Medical Writer · Medical Coder (CPC) · Medical Affairs · Nutritionist (M.Sc) · Formulation Scientist · Pharma Product Manager</t>
        </is>
      </c>
      <c r="E5" s="101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CA/CS/CMA (Direct Entry) · Digital Marketing</t>
        </is>
      </c>
      <c r="F5" s="101" t="inlineStr">
        <is>
          <t>GPAT → M.Pharm · NCAHP registration to practise · PG Dip Clinical Research (55%) · CPC coding (AAPC) · MPH / MHA · UPSC CSE · IBPS PO · CAT → MBA</t>
        </is>
      </c>
      <c r="G5" s="101" t="inlineStr">
        <is>
          <t>6 months – 2 years</t>
        </is>
      </c>
    </row>
    <row r="6" ht="88" customHeight="1" s="63">
      <c r="A6" s="96" t="inlineStr">
        <is>
          <t>B.Sc. Agriculture</t>
        </is>
      </c>
      <c r="B6" s="97" t="inlineStr">
        <is>
          <t>b-sc-agriculture</t>
        </is>
      </c>
      <c r="C6" s="98" t="inlineStr">
        <is>
          <t>Agricultural Scientist (ICAR) · Agriculture Extension Officer · Farm &amp; Estate Manager · Agri-input technical roles · M.Sc (ICAR AIEEA-PG)</t>
        </is>
      </c>
      <c r="D6" s="98" t="inlineStr">
        <is>
          <t>Agritech Business Manager · Food Technologist · Environmental / Sustainability Analyst · Seed &amp; Crop R&amp;D · Rural Development Officer · Agri Credit Officer · Precision-agriculture &amp; drone survey roles</t>
        </is>
      </c>
      <c r="E6" s="98" t="inlineStr">
        <is>
          <t>IAS/IPS &amp; Indian Forest Service (UPSC) · Bank PO and IBPS Agriculture Field Officer · MBA Agribusiness · Data Analyst · HR · Corporate Lawyer (3-yr LLB) · Entrepreneur · Content &amp; agri-journalism</t>
        </is>
      </c>
      <c r="F6" s="98" t="inlineStr">
        <is>
          <t>ICAR AIEEA-PG · UPSC CSE / IFoS · IBPS SO (Agri) · MBA (IIM-A FABM, NIAM, IARI) · DGCA Remote Pilot Certificate</t>
        </is>
      </c>
      <c r="G6" s="98" t="inlineStr">
        <is>
          <t>1–2 years</t>
        </is>
      </c>
    </row>
    <row r="7" ht="88" customHeight="1" s="63">
      <c r="A7" s="99" t="inlineStr">
        <is>
          <t>B.Sc. Biotechnology</t>
        </is>
      </c>
      <c r="B7" s="100" t="inlineStr">
        <is>
          <t>b-sc-biotechnology</t>
        </is>
      </c>
      <c r="C7" s="101" t="inlineStr">
        <is>
          <t>Research Associate · Biotech QC/QA · M.Sc Biotech → PhD · Bioprocess technician · Academic research</t>
        </is>
      </c>
      <c r="D7" s="101" t="inlineStr">
        <is>
          <t>Clinical Research Associate · Pharmacovigilance Associate · Bioinformatics Analyst · Genetic Counsellor · Medical Writer · Biotech Entrepreneur · Regulatory Affairs · Forensic Scientist (M.Sc)</t>
        </is>
      </c>
      <c r="E7" s="101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CA/CS/CMA (Direct Entry) · Digital Marketing · Journalism</t>
        </is>
      </c>
      <c r="F7" s="101" t="inlineStr">
        <is>
          <t>GAT-B / CUET-PG / CSIR-NET · NCAHP registration to practise · PG Dip Clinical Research (55%) · CPC coding (AAPC) · MPH / MHA · UPSC CSE · IBPS PO · CAT → MBA</t>
        </is>
      </c>
      <c r="G7" s="101" t="inlineStr">
        <is>
          <t>6 months – 3 years</t>
        </is>
      </c>
    </row>
    <row r="8" ht="88" customHeight="1" s="63">
      <c r="A8" s="96" t="inlineStr">
        <is>
          <t>B.Sc. Microbiology</t>
        </is>
      </c>
      <c r="B8" s="97" t="inlineStr">
        <is>
          <t>b-sc-microbiology</t>
        </is>
      </c>
      <c r="C8" s="98" t="inlineStr">
        <is>
          <t>Microbiologist · Clinical &amp; food microbiology labs · Sterility and QC roles · M.Sc → PhD · Academic research</t>
        </is>
      </c>
      <c r="D8" s="98" t="inlineStr">
        <is>
          <t>Clinical Research Associate · Pharmacovigilance Associate · Epidemiologist (MPH) · Food Safety &amp; Quality Analyst · Medical Coder (CPC) · Regulatory Affairs · Environmental Microbiology · Forensic Scientist (M.Sc)</t>
        </is>
      </c>
      <c r="E8" s="98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CA/CS/CMA (Direct Entry) · Technical Writer</t>
        </is>
      </c>
      <c r="F8" s="98" t="inlineStr">
        <is>
          <t>CUET-PG / CSIR-NET · FSSAI food-safety certification · NCAHP registration to practise · PG Dip Clinical Research (55%) · CPC coding (AAPC) · MPH / MHA · UPSC CSE · IBPS PO · CAT → MBA</t>
        </is>
      </c>
      <c r="G8" s="98" t="inlineStr">
        <is>
          <t>6 months – 3 years</t>
        </is>
      </c>
    </row>
    <row r="9" ht="88" customHeight="1" s="63">
      <c r="A9" s="99" t="inlineStr">
        <is>
          <t>B.Sc. Medical Laboratory Technology (BMLT)</t>
        </is>
      </c>
      <c r="B9" s="100" t="inlineStr">
        <is>
          <t>b-sc-medical-laboratory-technology-bmlt</t>
        </is>
      </c>
      <c r="C9" s="101" t="inlineStr">
        <is>
          <t>Medical Lab Technologist · Clinical Lab Supervisor · Blood-bank technologist · Phlebotomy lead · Histopathology/cytology technologist · MMLT or M.Sc → lab management</t>
        </is>
      </c>
      <c r="D9" s="101" t="inlineStr">
        <is>
          <t>Clinical Research Associate · Pharmacovigilance Associate · Medical Coder (CPC) · Lab QA &amp; NABL auditor · Diagnostics product specialist · Lab equipment application specialist · Forensic lab roles · Veterinary diagnostics · Own diagnostic lab (with licences)</t>
        </is>
      </c>
      <c r="E9" s="101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Diagnostics sales &amp; marketing · Diagnostic-chain operations</t>
        </is>
      </c>
      <c r="F9" s="101" t="inlineStr">
        <is>
          <t>MMLT / M.Sc MLT · NCAHP registration · NABL / QA certification · CPC coding · MHA · UPSC CSE · IBPS PO</t>
        </is>
      </c>
      <c r="G9" s="101" t="inlineStr">
        <is>
          <t>6 months – 2 years</t>
        </is>
      </c>
    </row>
    <row r="10" ht="88" customHeight="1" s="63">
      <c r="A10" s="96" t="inlineStr">
        <is>
          <t>B.Tech. Biotechnology</t>
        </is>
      </c>
      <c r="B10" s="97" t="inlineStr">
        <is>
          <t>b-tech-biotechnology</t>
        </is>
      </c>
      <c r="C10" s="98" t="inlineStr">
        <is>
          <t>Bioprocess Engineer · Biomanufacturing &amp; scale-up · Biotech R&amp;D · M.Tech/M.S → PhD · Bioreactor and downstream roles</t>
        </is>
      </c>
      <c r="D10" s="98" t="inlineStr">
        <is>
          <t>Bioinformatics · Clinical Research Associate · Regulatory Affairs · Biotech Entrepreneur (BIRAC BIG) · Data Scientist · Process Validation · Medical Device / diagnostics engineering</t>
        </is>
      </c>
      <c r="E10" s="98" t="inlineStr">
        <is>
          <t>IAS/IPS (UPSC) · Management Consultant (MBA) · Software Developer · Data Analyst · Product Manager · Investment Banking · HR Business Partner · Technical Writer · Bank PO</t>
        </is>
      </c>
      <c r="F10" s="98" t="inlineStr">
        <is>
          <t>GATE-BT · CAT/GMAT → MBA · coding portfolio · BIRAC BIG grant · UPSC CSE</t>
        </is>
      </c>
      <c r="G10" s="98" t="inlineStr">
        <is>
          <t>0–2 years</t>
        </is>
      </c>
    </row>
    <row r="11" ht="88" customHeight="1" s="63">
      <c r="A11" s="99" t="inlineStr">
        <is>
          <t>B.Sc. Food Technology / Science</t>
        </is>
      </c>
      <c r="B11" s="100" t="inlineStr">
        <is>
          <t>b-sc-food-technology-science</t>
        </is>
      </c>
      <c r="C11" s="101" t="inlineStr">
        <is>
          <t>Food Technologist · Product Development · Food QA/QC · FSSAI compliance · M.Sc/M.Tech Food Tech · Processing plant roles</t>
        </is>
      </c>
      <c r="D11" s="101" t="inlineStr">
        <is>
          <t>Food Safety Auditor (FSSAI/HACCP) · Nutritionist (M.Sc) · Agritech &amp; FMCG product roles · Supply Chain &amp; Procurement · Category Manager (FMCG/e-commerce) · Sensory &amp; consumer research · Cloud kitchen or D2C food brand</t>
        </is>
      </c>
      <c r="E11" s="101" t="inlineStr">
        <is>
          <t>IAS/IPS (UPSC) · Bank PO · MBA (FMCG marketing, operations) · Data Analyst · HR · Digital Marketing · Entrepreneur</t>
        </is>
      </c>
      <c r="F11" s="101" t="inlineStr">
        <is>
          <t>FSSAI / HACCP / ISO 22000 auditor certification · M.Sc/M.Tech · CAT → MBA · UPSC CSE</t>
        </is>
      </c>
      <c r="G11" s="101" t="inlineStr">
        <is>
          <t>6 months – 2 years</t>
        </is>
      </c>
    </row>
    <row r="12" ht="88" customHeight="1" s="63">
      <c r="A12" s="96" t="inlineStr">
        <is>
          <t>Bachelor of Physiotherapy (BPT)</t>
        </is>
      </c>
      <c r="B12" s="97" t="inlineStr">
        <is>
          <t>bachelor-of-physiotherapy-bpt</t>
        </is>
      </c>
      <c r="C12" s="98" t="inlineStr">
        <is>
          <t>Physiotherapist (state council registration) · MPT specialisation · Hospital &amp; clinic practice · Own clinic</t>
        </is>
      </c>
      <c r="D12" s="98" t="inlineStr">
        <is>
          <t>Sports Physiotherapist (MPT Sports) · Sports Scientist · Strength &amp; Conditioning Coach · Ergonomics Consultant · Rehabilitation Manager · Clinical Research Associate · Medical Coder (CPC) · Medical Writer · Fitness Trainer / Nutrition Coach · Geriatric &amp; home-care services</t>
        </is>
      </c>
      <c r="E12" s="98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</t>
        </is>
      </c>
      <c r="F12" s="98" t="inlineStr">
        <is>
          <t>MPT · NSCA-CSCS · NCAHP registration to practise · PG Dip Clinical Research (55%) · CPC coding (AAPC) · MPH / MHA · UPSC CSE · IBPS PO · CAT → MBA</t>
        </is>
      </c>
      <c r="G12" s="98" t="inlineStr">
        <is>
          <t>6 months – 2 years</t>
        </is>
      </c>
    </row>
    <row r="13" ht="88" customHeight="1" s="63">
      <c r="A13" s="99" t="inlineStr">
        <is>
          <t>B.Sc. Biochemistry</t>
        </is>
      </c>
      <c r="B13" s="100" t="inlineStr">
        <is>
          <t>b-sc-biochemistry</t>
        </is>
      </c>
      <c r="C13" s="101" t="inlineStr">
        <is>
          <t>Biochemist · Clinical biochemistry lab · M.Sc → PhD · Academic research · Analytical &amp; QC labs</t>
        </is>
      </c>
      <c r="D13" s="101" t="inlineStr">
        <is>
          <t>Clinical Research Associate · Pharmacovigilance Associate · Bioinformatics · Medical Writer · Medical Coder (CPC) · Nutritionist (M.Sc) · Forensic Scientist (M.Sc) · Regulatory Affairs · Diagnostics product specialist</t>
        </is>
      </c>
      <c r="E13" s="101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CA/CS/CMA (Direct Entry) · Data Analyst · Technical Writer</t>
        </is>
      </c>
      <c r="F13" s="101" t="inlineStr">
        <is>
          <t>CUET-PG / CSIR-NET · NCAHP registration to practise · PG Dip Clinical Research (55%) · CPC coding (AAPC) · MPH / MHA · UPSC CSE · IBPS PO · CAT → MBA</t>
        </is>
      </c>
      <c r="G13" s="101" t="inlineStr">
        <is>
          <t>6 months – 3 years</t>
        </is>
      </c>
    </row>
    <row r="14" ht="88" customHeight="1" s="63">
      <c r="A14" s="96" t="inlineStr">
        <is>
          <t>B.Sc. Nutrition &amp; Dietetics</t>
        </is>
      </c>
      <c r="B14" s="97" t="inlineStr">
        <is>
          <t>b-sc-nutrition-and-dietetics</t>
        </is>
      </c>
      <c r="C14" s="98" t="inlineStr">
        <is>
          <t>Clinical Dietitian · Registered Dietitian (M.Sc + IDA RD exam) · Hospital dietetics · Community nutrition</t>
        </is>
      </c>
      <c r="D14" s="98" t="inlineStr">
        <is>
          <t>Sports Nutritionist · Fitness &amp; Wellness Coach · Public Health Nutrition (MPH) · Food Product Development · Corporate wellness programmes · Nutrition content creator · Clinical Research Associate · Diabetes educator</t>
        </is>
      </c>
      <c r="E14" s="98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Brand &amp; marketing roles in FMCG/wellness · Digital Marketing · Entrepreneur</t>
        </is>
      </c>
      <c r="F14" s="98" t="inlineStr">
        <is>
          <t>M.Sc + IDA Registered Dietitian exam · ACE/NASM nutrition certification · MPH · NCAHP registration to practise · PG Dip Clinical Research (55%) · CPC coding (AAPC) · MPH / MHA · UPSC CSE · IBPS PO · CAT → MBA</t>
        </is>
      </c>
      <c r="G14" s="98" t="inlineStr">
        <is>
          <t>1–2 years</t>
        </is>
      </c>
    </row>
    <row r="15" ht="88" customHeight="1" s="63">
      <c r="A15" s="99" t="inlineStr">
        <is>
          <t>B.Sc. Medical Imaging Technology</t>
        </is>
      </c>
      <c r="B15" s="100" t="inlineStr">
        <is>
          <t>b-sc-medical-imaging-technology</t>
        </is>
      </c>
      <c r="C15" s="101" t="inlineStr">
        <is>
          <t>Radiographer / Imaging Technologist · CT &amp; MRI Technologist · Interventional radiology tech · M.Sc Medical Imaging · Radiology department supervisor</t>
        </is>
      </c>
      <c r="D15" s="101" t="inlineStr">
        <is>
          <t>Radiology AI annotation &amp; validation · Imaging equipment application specialist · PACS / imaging informatics · Clinical Research Associate · Medical Coder (CPC) · Radiation Safety Officer (AERB) · Teleradiology operations · Nuclear medicine or radiotherapy technology (M.Sc)</t>
        </is>
      </c>
      <c r="E15" s="101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Medical imaging equipment sales · Diagnostic-chain operations</t>
        </is>
      </c>
      <c r="F15" s="101" t="inlineStr">
        <is>
          <t>M.Sc Medical Imaging · NCAHP registration · AERB RSO certification · CPC coding · MHA · UPSC CSE · IBPS PO</t>
        </is>
      </c>
      <c r="G15" s="101" t="inlineStr">
        <is>
          <t>6 months – 2 years</t>
        </is>
      </c>
    </row>
    <row r="16" ht="88" customHeight="1" s="63">
      <c r="A16" s="96" t="inlineStr">
        <is>
          <t>B.Tech. Biomedical Engineering</t>
        </is>
      </c>
      <c r="B16" s="97" t="inlineStr">
        <is>
          <t>b-tech-biomedical-engineering</t>
        </is>
      </c>
      <c r="C16" s="98" t="inlineStr">
        <is>
          <t>Biomedical Engineer · Medical device design &amp; R&amp;D · Hospital equipment management · M.Tech/M.S → PhD · Clinical engineering</t>
        </is>
      </c>
      <c r="D16" s="98" t="inlineStr">
        <is>
          <t>Medical Device Regulatory Affairs (CDSCO/CE/FDA) · Health-tech product management · Medical device QA · Robotics &amp; prosthetics engineering · Clinical Research Associate · Medical imaging systems · Health Tech Founder · Data Scientist</t>
        </is>
      </c>
      <c r="E16" s="98" t="inlineStr">
        <is>
          <t>IAS/IPS (UPSC) · Management Consultant (MBA) · Software Developer · Data Analyst · Product Manager · Investment Banking · HR Business Partner · Technical Writer · Bank PO</t>
        </is>
      </c>
      <c r="F16" s="98" t="inlineStr">
        <is>
          <t>GATE-BM · CAT/GMAT → MBA · regulatory affairs certification · coding portfolio · UPSC CSE</t>
        </is>
      </c>
      <c r="G16" s="98" t="inlineStr">
        <is>
          <t>0–2 years</t>
        </is>
      </c>
    </row>
    <row r="17" ht="88" customHeight="1" s="63">
      <c r="A17" s="99" t="inlineStr">
        <is>
          <t>B.Sc. Genetics</t>
        </is>
      </c>
      <c r="B17" s="100" t="inlineStr">
        <is>
          <t>b-sc-genetics</t>
        </is>
      </c>
      <c r="C17" s="101" t="inlineStr">
        <is>
          <t>Geneticist · Cytogenetics &amp; molecular diagnostics lab · M.Sc → PhD · Academic research</t>
        </is>
      </c>
      <c r="D17" s="101" t="inlineStr">
        <is>
          <t>Genetic Counsellor (M.Sc Genetic Counselling) · Bioinformatics Analyst · Clinical Research Associate · Pharmacogenomics · Prenatal &amp; oncology diagnostics · Medical Writer · Forensic DNA analyst</t>
        </is>
      </c>
      <c r="E17" s="101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Data Analyst · Technical Writer · Science journalism</t>
        </is>
      </c>
      <c r="F17" s="101" t="inlineStr">
        <is>
          <t>M.Sc Genetic Counselling (Kamineni, Manipal) · CUET-PG / CSIR-NET · NCAHP registration to practise · PG Dip Clinical Research (55%) · CPC coding (AAPC) · MPH / MHA · UPSC CSE · IBPS PO · CAT → MBA</t>
        </is>
      </c>
      <c r="G17" s="101" t="inlineStr">
        <is>
          <t>1–3 years</t>
        </is>
      </c>
    </row>
    <row r="18" ht="88" customHeight="1" s="63">
      <c r="A18" s="96" t="inlineStr">
        <is>
          <t>Bachelor of Optometry (B.Optom)</t>
        </is>
      </c>
      <c r="B18" s="97" t="inlineStr">
        <is>
          <t>bachelor-of-optometry-b-optom</t>
        </is>
      </c>
      <c r="C18" s="98" t="inlineStr">
        <is>
          <t>Optometrist · Contact lens &amp; low-vision specialist · Hospital optometry · M.Optom · Own optical practice</t>
        </is>
      </c>
      <c r="D18" s="98" t="inlineStr">
        <is>
          <t>Vision Therapy &amp; Orthoptics · Ophthalmic equipment application specialist · Clinical Research (ophthalmic trials) · Optical retail management · Medical Coder (CPC) · Community eye-health programmes · Optical product &amp; lens R&amp;D</t>
        </is>
      </c>
      <c r="E18" s="98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Optical retail chain entrepreneurship · Medical device sales</t>
        </is>
      </c>
      <c r="F18" s="98" t="inlineStr">
        <is>
          <t>M.Optom · NCAHP registration · PG Dip Clinical Research · CPC coding · MHA · MPH · UPSC CSE · IBPS PO</t>
        </is>
      </c>
      <c r="G18" s="98" t="inlineStr">
        <is>
          <t>6 months – 2 years</t>
        </is>
      </c>
    </row>
    <row r="19" ht="88" customHeight="1" s="63">
      <c r="A19" s="99" t="inlineStr">
        <is>
          <t>B.Sc. Bioinformatics</t>
        </is>
      </c>
      <c r="B19" s="100" t="inlineStr">
        <is>
          <t>b-sc-bioinformatics</t>
        </is>
      </c>
      <c r="C19" s="101" t="inlineStr">
        <is>
          <t>Bioinformatics Analyst · Genomics data analysis · M.Sc/M.Tech → PhD · Computational biology research</t>
        </is>
      </c>
      <c r="D19" s="101" t="inlineStr">
        <is>
          <t>Data Scientist · Data Engineer · Computational genomics · Pharmacogenomics · Biostatistician · Clinical Data Management · AI/ML in drug discovery · Health-tech data roles</t>
        </is>
      </c>
      <c r="E19" s="101" t="inlineStr">
        <is>
          <t>IAS/IPS (UPSC) · Bank PO · Software Developer · Business Intelligence Analyst · Product Manager · Management Consultant · Technical Writer · HR Analytics</t>
        </is>
      </c>
      <c r="F19" s="101" t="inlineStr">
        <is>
          <t>CUET-PG / GATE-BT · Python/SQL portfolio · SAS or CDM certification · CAT → MBA · UPSC CSE</t>
        </is>
      </c>
      <c r="G19" s="101" t="inlineStr">
        <is>
          <t>0–2 years</t>
        </is>
      </c>
    </row>
    <row r="20" ht="88" customHeight="1" s="63">
      <c r="A20" s="96" t="inlineStr">
        <is>
          <t>B.Sc. Biomedical Sciences</t>
        </is>
      </c>
      <c r="B20" s="97" t="inlineStr">
        <is>
          <t>b-sc-biomedical-sciences</t>
        </is>
      </c>
      <c r="C20" s="98" t="inlineStr">
        <is>
          <t>Biomedical Scientist · Research Associate · Diagnostic &amp; pathology labs · M.Sc → PhD · Academic research</t>
        </is>
      </c>
      <c r="D20" s="98" t="inlineStr">
        <is>
          <t>Clinical Research Associate · Pharmacovigilance Associate · Medical Coder (CPC) · Medical Writer · Epidemiologist (MPH) · Regulatory Affairs · Bioinformatics · Medical Affairs · Genetic Counsellor</t>
        </is>
      </c>
      <c r="E20" s="98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CA/CS/CMA (Direct Entry) · Data Analyst · Science journalism</t>
        </is>
      </c>
      <c r="F20" s="98" t="inlineStr">
        <is>
          <t>CUET-PG / CSIR-NET · NCAHP registration to practise · PG Dip Clinical Research (55%) · CPC coding (AAPC) · MPH / MHA · UPSC CSE · IBPS PO · CAT → MBA</t>
        </is>
      </c>
      <c r="G20" s="98" t="inlineStr">
        <is>
          <t>6 months – 3 years</t>
        </is>
      </c>
    </row>
    <row r="21" ht="88" customHeight="1" s="63">
      <c r="A21" s="99" t="inlineStr">
        <is>
          <t>B.Sc. Operation Theatre &amp; Anaesthesia Technology (B.AOTT)</t>
        </is>
      </c>
      <c r="B21" s="100" t="inlineStr">
        <is>
          <t>b-sc-operation-theatre-and-anaesthesia-technology-b-aott</t>
        </is>
      </c>
      <c r="C21" s="101" t="inlineStr">
        <is>
          <t>OT Technologist · Anaesthesia Technologist · OT in-charge &amp; sterile services lead · M.Sc OT/Anaesthesia Technology</t>
        </is>
      </c>
      <c r="D21" s="101" t="inlineStr">
        <is>
          <t>Surgical device application specialist · CSSD &amp; infection control manager · Clinical Research Associate · Medical Coder (CPC) · Perfusion or critical-care technology (M.Sc) · Robotic surgery support technologist · OT equipment technical training roles</t>
        </is>
      </c>
      <c r="E21" s="101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Surgical device and implant sales · Hospital operations</t>
        </is>
      </c>
      <c r="F21" s="101" t="inlineStr">
        <is>
          <t>M.Sc OT &amp; Anaesthesia Technology · NCAHP registration · CPC coding · MHA · UPSC CSE · IBPS PO</t>
        </is>
      </c>
      <c r="G21" s="101" t="inlineStr">
        <is>
          <t>6 months – 2 years</t>
        </is>
      </c>
    </row>
    <row r="22" ht="88" customHeight="1" s="63">
      <c r="A22" s="96" t="inlineStr">
        <is>
          <t>Bachelor of Audiology &amp; Speech-Language Pathology (BASLP)</t>
        </is>
      </c>
      <c r="B22" s="97" t="inlineStr">
        <is>
          <t>bachelor-of-audiology-and-speech-language-pathology-baslp</t>
        </is>
      </c>
      <c r="C22" s="98" t="inlineStr">
        <is>
          <t>Audiologist · Speech-Language Pathologist (RCI registration) · Hospital &amp; school practice · M.ASLP · Own clinic</t>
        </is>
      </c>
      <c r="D22" s="98" t="inlineStr">
        <is>
          <t>Cochlear implant &amp; hearing aid audiologist · Industrial &amp; occupational audiology · Special Educator · Early-intervention specialist · Teletherapy practice · Clinical Research (ENT/audiology trials) · Hearing device product specialist · Accent &amp; voice coach</t>
        </is>
      </c>
      <c r="E22" s="98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Sign Language Interpreter (ISL diploma) · EdTech content for speech therapy · Career Counsellor</t>
        </is>
      </c>
      <c r="F22" s="98" t="inlineStr">
        <is>
          <t>M.ASLP · RCI registration · RCI B.Ed Special Education · PG Dip Clinical Research · MHA · UPSC CSE · IBPS PO</t>
        </is>
      </c>
      <c r="G22" s="98" t="inlineStr">
        <is>
          <t>6 months – 2 years</t>
        </is>
      </c>
    </row>
    <row r="23" ht="88" customHeight="1" s="63">
      <c r="A23" s="99" t="inlineStr">
        <is>
          <t>B.Sc. Cardiac Care Technology &amp; B.Sc. Perfusion Technology</t>
        </is>
      </c>
      <c r="B23" s="100" t="inlineStr">
        <is>
          <t>bsc-cardiac-care-and-perfusion-technology</t>
        </is>
      </c>
      <c r="C23" s="101" t="inlineStr">
        <is>
          <t>Perfusionist · Cardiac Care Technologist · Cath-lab technologist · ECMO specialist · M.Sc Perfusion / Cardiovascular Technology</t>
        </is>
      </c>
      <c r="D23" s="101" t="inlineStr">
        <is>
          <t>Cardiac device &amp; implant application specialist (pacemakers, stents, ECMO) · Cath-lab operations lead · Clinical Research Associate (cardiology trials) · Medical Coder (CPC) · Respiratory or critical-care technology (M.Sc) · Cardiac rehabilitation coordinator · Clinical applications trainer</t>
        </is>
      </c>
      <c r="E23" s="101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Cardiac device sales · Hospital operations</t>
        </is>
      </c>
      <c r="F23" s="101" t="inlineStr">
        <is>
          <t>M.Sc Perfusion / Cardiovascular Technology · NCAHP registration · CPC coding · MHA · UPSC CSE · IBPS PO</t>
        </is>
      </c>
      <c r="G23" s="101" t="inlineStr">
        <is>
          <t>6 months – 2 years</t>
        </is>
      </c>
    </row>
    <row r="24" ht="88" customHeight="1" s="63">
      <c r="A24" s="96" t="inlineStr">
        <is>
          <t>B.Sc. Respiratory Therapy (B.RT)</t>
        </is>
      </c>
      <c r="B24" s="97" t="inlineStr">
        <is>
          <t>b-sc-respiratory-therapy-b-rt</t>
        </is>
      </c>
      <c r="C24" s="98" t="inlineStr">
        <is>
          <t>Respiratory Therapist · ICU ventilator management · Pulmonary function lab · Sleep lab technologist · M.Sc Respiratory Therapy</t>
        </is>
      </c>
      <c r="D24" s="98" t="inlineStr">
        <is>
          <t>Ventilator &amp; respiratory device application specialist · Sleep medicine technologist (RPSGT) · Pulmonary rehabilitation coordinator · Home-care respiratory services · Clinical Research Associate · Medical Coder (CPC) · Critical-care or perfusion technology (M.Sc) · Neonatal respiratory care</t>
        </is>
      </c>
      <c r="E24" s="98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Respiratory device sales · Hospital operations</t>
        </is>
      </c>
      <c r="F24" s="98" t="inlineStr">
        <is>
          <t>M.Sc Respiratory Therapy · NCAHP registration · RPSGT · CPC coding · MHA · UPSC CSE · IBPS PO</t>
        </is>
      </c>
      <c r="G24" s="98" t="inlineStr">
        <is>
          <t>6 months – 2 years</t>
        </is>
      </c>
    </row>
    <row r="25" ht="88" customHeight="1" s="63">
      <c r="A25" s="99" t="inlineStr">
        <is>
          <t>Bachelor of Occupational Therapy (BOT)</t>
        </is>
      </c>
      <c r="B25" s="100" t="inlineStr">
        <is>
          <t>bachelor-of-occupational-therapy-bot</t>
        </is>
      </c>
      <c r="C25" s="101" t="inlineStr">
        <is>
          <t>Occupational Therapist (AIOTA registration) · MOT specialisation · Paediatric, neuro and hand therapy · Own practice</t>
        </is>
      </c>
      <c r="D25" s="101" t="inlineStr">
        <is>
          <t>Paediatric &amp; sensory integration therapist · Hand therapy &amp; splinting specialist · Ergonomics Consultant · Assistive technology &amp; rehab engineering liaison · Special Educator · Vocational rehabilitation counsellor · Mental health occupational therapy · Clinical Research Associate · Medical Coder (CPC)</t>
        </is>
      </c>
      <c r="E25" s="101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Career Counsellor · Corporate wellness &amp; ergonomics consulting</t>
        </is>
      </c>
      <c r="F25" s="101" t="inlineStr">
        <is>
          <t>MOT · AIOTA registration · RCI B.Ed Special Education · PG Dip Clinical Research · MHA · UPSC CSE · IBPS PO</t>
        </is>
      </c>
      <c r="G25" s="101" t="inlineStr">
        <is>
          <t>6 months – 2 years</t>
        </is>
      </c>
    </row>
    <row r="26" ht="88" customHeight="1" s="63">
      <c r="A26" s="96" t="inlineStr">
        <is>
          <t>B.Sc. Physician Assistant / Physician Associate</t>
        </is>
      </c>
      <c r="B26" s="97" t="inlineStr">
        <is>
          <t>b-sc-physician-assistant-physician-associate-b-sc-pa</t>
        </is>
      </c>
      <c r="C26" s="98" t="inlineStr">
        <is>
          <t>Physician Assistant · Surgical &amp; ICU assistant · Speciality clinic PA · M.Sc PA · Hospital clinical support lead</t>
        </is>
      </c>
      <c r="D26" s="98" t="inlineStr">
        <is>
          <t>Clinical Research Associate &amp; Coordinator · Emergency &amp; trauma care coordination · Medical Coder (CPC) · Medical Writer · Clinical documentation improvement specialist · Medical Affairs · Transplant coordinator · Health-tech clinical operations</t>
        </is>
      </c>
      <c r="E26" s="98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Clinical product management · Medical education content</t>
        </is>
      </c>
      <c r="F26" s="98" t="inlineStr">
        <is>
          <t>M.Sc Physician Assistant · NCAHP registration · PG Dip Clinical Research · CPC coding · MHA · MPH · UPSC CSE</t>
        </is>
      </c>
      <c r="G26" s="98" t="inlineStr">
        <is>
          <t>6 months – 2 years</t>
        </is>
      </c>
    </row>
    <row r="27" ht="88" customHeight="1" s="63">
      <c r="A27" s="99" t="inlineStr">
        <is>
          <t>B.Sc. Emergency Medical Technology / Trauma Care</t>
        </is>
      </c>
      <c r="B27" s="100" t="inlineStr">
        <is>
          <t>b-sc-emergency-medical-technology-trauma-care-technology</t>
        </is>
      </c>
      <c r="C27" s="101" t="inlineStr">
        <is>
          <t>Emergency Medical Technologist · Paramedic · Trauma &amp; casualty coordinator · Ambulance services lead · M.Sc EMT</t>
        </is>
      </c>
      <c r="D27" s="101" t="inlineStr">
        <is>
          <t>Disaster management &amp; emergency preparedness officer · Industrial &amp; event medical services · Air &amp; aviation medical transport · Emergency services training faculty · Clinical Research Associate · Medical Coder (CPC) · Health &amp; Safety (EHS) Officer · Emergency device application specialist</t>
        </is>
      </c>
      <c r="E27" s="101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NDRF/defence medical support entries · Fire &amp; safety services · Entrepreneur (ambulance services)</t>
        </is>
      </c>
      <c r="F27" s="101" t="inlineStr">
        <is>
          <t>M.Sc EMT / Disaster Management · NCAHP registration · NEBOSH or Diploma in Industrial Safety · ACLS/PALS · MHA · UPSC CSE · IBPS PO</t>
        </is>
      </c>
      <c r="G27" s="101" t="inlineStr">
        <is>
          <t>6 months – 2 years</t>
        </is>
      </c>
    </row>
    <row r="28" ht="88" customHeight="1" s="63">
      <c r="A28" s="96" t="inlineStr">
        <is>
          <t>B.Sc. Neuro-Electrophysiology / Neurodiagnostic Technology</t>
        </is>
      </c>
      <c r="B28" s="97" t="inlineStr">
        <is>
          <t>b-sc-neuro-electrophysiology-neurodiagnostic-technology</t>
        </is>
      </c>
      <c r="C28" s="98" t="inlineStr">
        <is>
          <t>Neurophysiology Technologist · EEG / EMG / NCS technologist · Intraoperative neuromonitoring · Sleep lab · M.Sc Neurophysiology</t>
        </is>
      </c>
      <c r="D28" s="98" t="inlineStr">
        <is>
          <t>Intraoperative neuromonitoring specialist (IONM) · Epilepsy monitoring unit lead · Sleep medicine technologist (RPSGT) · Neuro device application specialist (DBS, EEG systems) · Clinical Research Associate (neurology trials) · Medical Coder (CPC) · Neuro-signal data &amp; AI annotation roles</t>
        </is>
      </c>
      <c r="E28" s="98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Neuro device sales · Hospital operations</t>
        </is>
      </c>
      <c r="F28" s="98" t="inlineStr">
        <is>
          <t>M.Sc Neurophysiology · NCAHP registration · RPSGT / CNIM · CPC coding · MHA · UPSC CSE · IBPS PO</t>
        </is>
      </c>
      <c r="G28" s="98" t="inlineStr">
        <is>
          <t>6 months – 2 years</t>
        </is>
      </c>
    </row>
    <row r="29" ht="88" customHeight="1" s="63">
      <c r="A29" s="99" t="inlineStr">
        <is>
          <t>B.Sc. Nuclear Medicine Technology</t>
        </is>
      </c>
      <c r="B29" s="100" t="inlineStr">
        <is>
          <t>b-sc-nuclear-medicine-technology</t>
        </is>
      </c>
      <c r="C29" s="101" t="inlineStr">
        <is>
          <t>Nuclear Medicine Technologist · PET-CT &amp; SPECT technologist · Radiopharmacy QC · M.Sc Nuclear Medicine Technology · Theranostics department roles</t>
        </is>
      </c>
      <c r="D29" s="101" t="inlineStr">
        <is>
          <t>Radiation Safety Officer (AERB) · Radiopharmaceutical production &amp; QC · Radiotherapy or medical imaging technology (M.Sc) · Molecular imaging research · Clinical Research Associate (oncology &amp; theranostics trials) · Nuclear imaging equipment application specialist · Medical Coder (CPC)</t>
        </is>
      </c>
      <c r="E29" s="101" t="inlineStr">
        <is>
          <t>IAS/IPS (UPSC CSE) · State PSC Officer · Bank PO (IBPS/SBI) · Hospital Administrator (MHA/MBA) · Public Health Programme Officer (MPH) · Medical Device Sales · Health-tech product &amp; operations · HR Business Partner (MBA-HR) · Data Analyst · Corporate Lawyer (3-yr LLB) · Test Prep Educator · Entrepreneur · Imaging &amp; radiopharma sales · Diagnostic-chain operations</t>
        </is>
      </c>
      <c r="F29" s="101" t="inlineStr">
        <is>
          <t>M.Sc Nuclear Medicine Technology · NCAHP registration · AERB RSO certification · CPC coding · MHA · UPSC CSE · IBPS PO</t>
        </is>
      </c>
      <c r="G29" s="101" t="inlineStr">
        <is>
          <t>6 months – 2 years</t>
        </is>
      </c>
    </row>
    <row r="30" ht="88" customHeight="1" s="63">
      <c r="A30" s="96" t="inlineStr">
        <is>
          <t>ANY bachelor's degree (universal doors)</t>
        </is>
      </c>
      <c r="B30" s="97" t="inlineStr"/>
      <c r="C30" s="98" t="inlineStr">
        <is>
          <t>—</t>
        </is>
      </c>
      <c r="D30" s="98" t="inlineStr">
        <is>
          <t>—</t>
        </is>
      </c>
      <c r="E30" s="98" t="inlineStr">
        <is>
          <t>IAS/IPS/IFS (UPSC CSE) · State PSC Officer · Bank PO (IBPS/SBI) · Lawyer (3-yr LLB) · CA / CS / CMA (Direct Entry) · Actuary (IAI) · School Teacher (B.Ed) · Social Worker (MSW) · HR Manager (MBA-HR) · Product Manager · Data Analyst · Digital Marketing · UX Designer · Journalist · Military Officer (CDS/AFCAT) · Entrepreneur</t>
        </is>
      </c>
      <c r="F30" s="98" t="inlineStr">
        <is>
          <t>UPSC CSE · IBPS PO · 3-yr LLB · ICAI/ICSI/ICMAI Direct Entry · CAT/XAT/TISSNET · B.Ed + CTET · portfolio or certification</t>
        </is>
      </c>
      <c r="G30" s="98" t="inlineStr">
        <is>
          <t>0–3 years depending on route</t>
        </is>
      </c>
    </row>
    <row r="31" ht="88" customHeight="1" s="63">
      <c r="A31" s="99" t="inlineStr">
        <is>
          <t>B.Tech / B.E. — any branch</t>
        </is>
      </c>
      <c r="B31" s="100" t="inlineStr"/>
      <c r="C31" s="101" t="inlineStr">
        <is>
          <t>Core-branch engineering · Design &amp; R&amp;D · PSU technical entry (GATE) · M.Tech / MS</t>
        </is>
      </c>
      <c r="D31" s="101" t="inlineStr">
        <is>
          <t>Software Developer · Data Scientist · Data Analyst · Product Manager · Technical Program Manager · QA Engineer · Cybersecurity · Cloud &amp; DevOps · Solutions Engineer · Technical Writer · Patent Analyst</t>
        </is>
      </c>
      <c r="E31" s="101" t="inlineStr">
        <is>
          <t>IAS/IPS (UPSC) · Management Consultant (MBA) · Investment Banker · HR Business Partner · Corporate Lawyer (3-yr LLB) · Test Prep Educator · Journalist · UX Designer · CA · Actuary · Bank PO</t>
        </is>
      </c>
      <c r="F31" s="101" t="inlineStr">
        <is>
          <t>GATE · CAT/GMAT → MBA · UPSC CSE · certifications (AWS, ISTQB, CFA) · 3-yr LLB</t>
        </is>
      </c>
      <c r="G31" s="101" t="inlineStr">
        <is>
          <t>0–2 years</t>
        </is>
      </c>
    </row>
    <row r="32" ht="88" customHeight="1" s="63">
      <c r="A32" s="96" t="inlineStr">
        <is>
          <t>B.Tech CSE / IT · BCA · B.Sc CS</t>
        </is>
      </c>
      <c r="B32" s="97" t="inlineStr"/>
      <c r="C32" s="98" t="inlineStr">
        <is>
          <t>Software Developer · Data Engineer · AI/ML Engineer · Cybersecurity · Cloud Architect · DevOps · Game Developer</t>
        </is>
      </c>
      <c r="D32" s="98" t="inlineStr">
        <is>
          <t>Product Manager · Technical Program Manager · Solutions Engineer · Data Scientist · Blockchain Developer · Ethical Hacker · AI Solutions Engineer · Digital Product Designer · Salesforce Administrator</t>
        </is>
      </c>
      <c r="E32" s="98" t="inlineStr">
        <is>
          <t>Management Consultant · Investment Banking (quant) · HR Analytics · Technical Recruiter · EdTech Founder · UPSC CSE · Bank PO · Technical Writer</t>
        </is>
      </c>
      <c r="F32" s="98" t="inlineStr">
        <is>
          <t>MCA (NIMCET) · cloud &amp; security certifications · CAT → MBA · UPSC CSE</t>
        </is>
      </c>
      <c r="G32" s="98" t="inlineStr">
        <is>
          <t>0–2 years</t>
        </is>
      </c>
    </row>
    <row r="33" ht="88" customHeight="1" s="63">
      <c r="A33" s="99" t="inlineStr">
        <is>
          <t>MBBS</t>
        </is>
      </c>
      <c r="B33" s="100" t="inlineStr"/>
      <c r="C33" s="101" t="inlineStr">
        <is>
          <t>Physician · Surgeon (NEET-PG) · Psychiatrist · Speciality consultant · Public-sector medical officer</t>
        </is>
      </c>
      <c r="D33" s="101" t="inlineStr">
        <is>
          <t>Epidemiologist (MPH) · Hospital Administrator (MHA) · Clinical Research · Medical Writer · Pharmacovigilance · Health Tech Founder · Medical Affairs · Medical Coder (CPC)</t>
        </is>
      </c>
      <c r="E33" s="101" t="inlineStr">
        <is>
          <t>IAS/IPS (UPSC CSE) · Management Consultant (healthcare practice) · Health policy analyst · Medical journalism · Test-prep faculty · Bank PO</t>
        </is>
      </c>
      <c r="F33" s="101" t="inlineStr">
        <is>
          <t>NEET-PG · MPH · MHA/MBA · UPSC CSE · medical writing certification</t>
        </is>
      </c>
      <c r="G33" s="101" t="inlineStr">
        <is>
          <t>1–3 years</t>
        </is>
      </c>
    </row>
    <row r="34" ht="88" customHeight="1" s="63">
      <c r="A34" s="96" t="inlineStr">
        <is>
          <t>BDS (Dental)</t>
        </is>
      </c>
      <c r="B34" s="97" t="inlineStr"/>
      <c r="C34" s="98" t="inlineStr">
        <is>
          <t>Dental Surgeon · MDS specialisation · Clinic practice</t>
        </is>
      </c>
      <c r="D34" s="98" t="inlineStr">
        <is>
          <t>Medical Coder (CPC) · Clinical Research Associate · Pharmacovigilance · Medical Writer · Hospital Administrator · Public Health (MPH) · Dental product specialist</t>
        </is>
      </c>
      <c r="E34" s="98" t="inlineStr">
        <is>
          <t>IAS/IPS (UPSC) · Bank PO · Medical device sales · Health-tech product roles · MBA (any function)</t>
        </is>
      </c>
      <c r="F34" s="98" t="inlineStr">
        <is>
          <t>NEET-MDS · CPC coding · MPH · MHA · UPSC CSE</t>
        </is>
      </c>
      <c r="G34" s="98" t="inlineStr">
        <is>
          <t>6 months – 2 years</t>
        </is>
      </c>
    </row>
    <row r="35" ht="88" customHeight="1" s="63">
      <c r="A35" s="99" t="inlineStr">
        <is>
          <t>B.Sc — Physics / Chemistry / Maths</t>
        </is>
      </c>
      <c r="B35" s="100" t="inlineStr"/>
      <c r="C35" s="101" t="inlineStr">
        <is>
          <t>Research (M.Sc → PhD) · Teaching · Lab &amp; QC roles · ISRO/DRDO/BARC scientific entry</t>
        </is>
      </c>
      <c r="D35" s="101" t="inlineStr">
        <is>
          <t>Data Scientist · Data Analyst · Actuary · Quantitative Analyst · Nanotechnology · Astronomer (JEST) · Air Traffic Controller (PCM) · Semiconductor process roles</t>
        </is>
      </c>
      <c r="E35" s="101" t="inlineStr">
        <is>
          <t>IAS/IPS (UPSC) · Bank PO · CA / CS / CMA · Management Consultant · Investment Banking · Test Prep Educator · Software Developer</t>
        </is>
      </c>
      <c r="F35" s="101" t="inlineStr">
        <is>
          <t>JAM / JEST / GATE · IAI ACET · CAT → MBA · UPSC CSE · coding portfolio</t>
        </is>
      </c>
      <c r="G35" s="101" t="inlineStr">
        <is>
          <t>6 months – 3 years</t>
        </is>
      </c>
    </row>
    <row r="36" ht="88" customHeight="1" s="63">
      <c r="A36" s="96" t="inlineStr">
        <is>
          <t>B.Sc Statistics / Mathematics · BA Economics</t>
        </is>
      </c>
      <c r="B36" s="97" t="inlineStr"/>
      <c r="C36" s="98" t="inlineStr">
        <is>
          <t>Statistician · Economist · Research Associate · M.Sc/MA → PhD</t>
        </is>
      </c>
      <c r="D36" s="98" t="inlineStr">
        <is>
          <t>Data Scientist · Data Analyst · Actuary · Risk Analyst · Equity Research · Market Research · Impact Evaluation · HR Analytics · Sports Analytics</t>
        </is>
      </c>
      <c r="E36" s="98" t="inlineStr">
        <is>
          <t>IAS/IPS (UPSC) · Management Consultant · Investment Banker · CA · Policy Analyst · Product Manager · Bank PO</t>
        </is>
      </c>
      <c r="F36" s="98" t="inlineStr">
        <is>
          <t>IAI ACET · CFA / FRM · CAT/GMAT → MBA · MA Public Policy · UPSC CSE</t>
        </is>
      </c>
      <c r="G36" s="98" t="inlineStr">
        <is>
          <t>0–2 years</t>
        </is>
      </c>
    </row>
    <row r="37" ht="88" customHeight="1" s="63">
      <c r="A37" s="99" t="inlineStr">
        <is>
          <t>B.Com</t>
        </is>
      </c>
      <c r="B37" s="100" t="inlineStr"/>
      <c r="C37" s="101" t="inlineStr">
        <is>
          <t>Accountant · Audit Associate · Taxation · Banking operations</t>
        </is>
      </c>
      <c r="D37" s="101" t="inlineStr">
        <is>
          <t>CA / CS / CMA · Financial Analyst (FP&amp;A) · Internal Auditor · Credit Analyst · Compliance Officer · Treasury Analyst · Payroll Specialist · Compensation &amp; Benefits</t>
        </is>
      </c>
      <c r="E37" s="101" t="inlineStr">
        <is>
          <t>IAS/IPS (UPSC) · Bank PO · Data Analyst · HR Business Partner · Digital Marketing · Product Manager · Corporate Lawyer (3-yr LLB) · Actuary</t>
        </is>
      </c>
      <c r="F37" s="101" t="inlineStr">
        <is>
          <t>ICAI/ICSI/ICMAI Direct Entry · CFA / FRM / CIA · CAT → MBA · UPSC CSE · 3-yr LLB</t>
        </is>
      </c>
      <c r="G37" s="101" t="inlineStr">
        <is>
          <t>0–4 years (CA is the long one)</t>
        </is>
      </c>
    </row>
    <row r="38" ht="88" customHeight="1" s="63">
      <c r="A38" s="96" t="inlineStr">
        <is>
          <t>BBA / BMS / BBM</t>
        </is>
      </c>
      <c r="B38" s="97" t="inlineStr"/>
      <c r="C38" s="98" t="inlineStr">
        <is>
          <t>Business Executive · Operations · Sales · Marketing coordinator</t>
        </is>
      </c>
      <c r="D38" s="98" t="inlineStr">
        <is>
          <t>HR Business Partner · Operations Manager · Supply Chain · Category Manager · Business Analyst · Marketing Manager · Revenue Operations · Customer Success</t>
        </is>
      </c>
      <c r="E38" s="98" t="inlineStr">
        <is>
          <t>IAS/IPS (UPSC) · Bank PO · CA / CS / CMA · Data Analyst · Corporate Lawyer (3-yr LLB) · Product Manager · Entrepreneur</t>
        </is>
      </c>
      <c r="F38" s="98" t="inlineStr">
        <is>
          <t>CAT/XAT/GMAT → MBA · ICAI Direct Entry · UPSC CSE · Six Sigma / PMP</t>
        </is>
      </c>
      <c r="G38" s="98" t="inlineStr">
        <is>
          <t>0–2 years</t>
        </is>
      </c>
    </row>
    <row r="39" ht="88" customHeight="1" s="63">
      <c r="A39" s="99" t="inlineStr">
        <is>
          <t>BA Psychology</t>
        </is>
      </c>
      <c r="B39" s="100" t="inlineStr"/>
      <c r="C39" s="101" t="inlineStr">
        <is>
          <t>Counsellor (MA) · Clinical Psychologist (RCI M.Phil) · Research Assistant</t>
        </is>
      </c>
      <c r="D39" s="101" t="inlineStr">
        <is>
          <t>HR Business Partner · Organisational Development · Career Counsellor · UX Researcher · Special Educator · Life Coach · Market Research · Genetic Counsellor · D&amp;I Manager</t>
        </is>
      </c>
      <c r="E39" s="101" t="inlineStr">
        <is>
          <t>IAS/IPS (UPSC) · Bank PO · Content Strategist · Corporate Trainer · Marketing &amp; brand strategy · Corporate Lawyer (3-yr LLB)</t>
        </is>
      </c>
      <c r="F39" s="101" t="inlineStr">
        <is>
          <t>MA Psychology · RCI M.Phil · TISSNET / CAT → MBA-HR · UX portfolio · UPSC CSE</t>
        </is>
      </c>
      <c r="G39" s="101" t="inlineStr">
        <is>
          <t>1–3 years</t>
        </is>
      </c>
    </row>
    <row r="40" ht="88" customHeight="1" s="63">
      <c r="A40" s="96" t="inlineStr">
        <is>
          <t>BA English / Literature / Languages</t>
        </is>
      </c>
      <c r="B40" s="97" t="inlineStr"/>
      <c r="C40" s="98" t="inlineStr">
        <is>
          <t>Teaching (B.Ed / NET) · Editing · Publishing · Translation</t>
        </is>
      </c>
      <c r="D40" s="98" t="inlineStr">
        <is>
          <t>Content Strategist · Copywriter · Technical Writer · UX Writer · Localisation Specialist · Journalist · Screenwriter · Instructional Designer · Corporate Communications</t>
        </is>
      </c>
      <c r="E40" s="98" t="inlineStr">
        <is>
          <t>IAS/IPS (UPSC) · Bank PO · HR roles · Digital Marketing · Product Marketing · Corporate Lawyer (3-yr LLB) · CA (Direct Entry)</t>
        </is>
      </c>
      <c r="F40" s="98" t="inlineStr">
        <is>
          <t>Portfolio · IIMC/ACJ PG Diploma · UGC-NET · CAT → MBA · UPSC CSE · 3-yr LLB</t>
        </is>
      </c>
      <c r="G40" s="98" t="inlineStr">
        <is>
          <t>0–2 years</t>
        </is>
      </c>
    </row>
    <row r="41" ht="88" customHeight="1" s="63">
      <c r="A41" s="99" t="inlineStr">
        <is>
          <t>BA Political Science / Sociology / History</t>
        </is>
      </c>
      <c r="B41" s="100" t="inlineStr"/>
      <c r="C41" s="101" t="inlineStr">
        <is>
          <t>Teaching (NET/PhD) · Research Associate · Archival &amp; museum work</t>
        </is>
      </c>
      <c r="D41" s="101" t="inlineStr">
        <is>
          <t>Policy Analyst · NGO Programme Manager · CSR Manager · Impact Evaluation · Political Consultant · Museum Curator · Public Health Programme Officer</t>
        </is>
      </c>
      <c r="E41" s="101" t="inlineStr">
        <is>
          <t>IAS/IPS/IFS (UPSC — this stream is over-represented) · State PSC · Bank PO · HR · Journalism · Corporate Lawyer (3-yr LLB) · Content Strategy</t>
        </is>
      </c>
      <c r="F41" s="101" t="inlineStr">
        <is>
          <t>UPSC CSE · MA Public Policy / MSW · UGC-NET · 3-yr LLB · CAT → MBA</t>
        </is>
      </c>
      <c r="G41" s="101" t="inlineStr">
        <is>
          <t>1–3 years</t>
        </is>
      </c>
    </row>
    <row r="42" ht="88" customHeight="1" s="63">
      <c r="A42" s="96" t="inlineStr">
        <is>
          <t>BA / B.Sc Journalism &amp; Mass Communication</t>
        </is>
      </c>
      <c r="B42" s="97" t="inlineStr"/>
      <c r="C42" s="98" t="inlineStr">
        <is>
          <t>Reporter · Editor · Broadcast producer · PR executive</t>
        </is>
      </c>
      <c r="D42" s="98" t="inlineStr">
        <is>
          <t>Content Strategist · Corporate Communications · Social Media Manager · Podcast Producer · Documentary Filmmaker · Community Manager · Sports Broadcaster</t>
        </is>
      </c>
      <c r="E42" s="98" t="inlineStr">
        <is>
          <t>IAS/IPS (UPSC) · Bank PO · Brand Strategy · Digital Marketing · HR · Product Marketing · Political Consultant</t>
        </is>
      </c>
      <c r="F42" s="98" t="inlineStr">
        <is>
          <t>Portfolio of clips · IIMC/ACJ · MICA PGDM · UPSC CSE</t>
        </is>
      </c>
      <c r="G42" s="98" t="inlineStr">
        <is>
          <t>0–2 years</t>
        </is>
      </c>
    </row>
    <row r="43" ht="88" customHeight="1" s="63">
      <c r="A43" s="99" t="inlineStr">
        <is>
          <t>B.Des / BFA (Design &amp; Fine Arts)</t>
        </is>
      </c>
      <c r="B43" s="100" t="inlineStr"/>
      <c r="C43" s="101" t="inlineStr">
        <is>
          <t>Graphic Designer · Product Designer · Animator · Illustrator · Fashion &amp; Textile Designer</t>
        </is>
      </c>
      <c r="D43" s="101" t="inlineStr">
        <is>
          <t>UX/UI Designer · Digital Product Designer · Art Director · Production Designer · Game Designer · Brand Strategist · Motion &amp; VFX</t>
        </is>
      </c>
      <c r="E43" s="101" t="inlineStr">
        <is>
          <t>Product Manager · Marketing Manager · Entrepreneur · Instructional Designer · Content Strategy · UPSC CSE</t>
        </is>
      </c>
      <c r="F43" s="101" t="inlineStr">
        <is>
          <t>Portfolio · M.Des via CEED · UX certification · CAT → MBA</t>
        </is>
      </c>
      <c r="G43" s="101" t="inlineStr">
        <is>
          <t>0–18 months</t>
        </is>
      </c>
    </row>
    <row r="44" ht="88" customHeight="1" s="63">
      <c r="A44" s="96" t="inlineStr">
        <is>
          <t>B.Arch</t>
        </is>
      </c>
      <c r="B44" s="97" t="inlineStr"/>
      <c r="C44" s="98" t="inlineStr">
        <is>
          <t>Architect (CoA registration) · Interior Design · Project Architect</t>
        </is>
      </c>
      <c r="D44" s="98" t="inlineStr">
        <is>
          <t>Urban Planner (M.Plan) · Industrial Designer (M.Des) · Production Designer · BIM &amp; construction tech · Real Estate Consultant · Landscape Design</t>
        </is>
      </c>
      <c r="E44" s="98" t="inlineStr">
        <is>
          <t>IAS/IPS (UPSC) · Product Manager · UX Designer · Management Consultant (infra) · Entrepreneur · Bank PO</t>
        </is>
      </c>
      <c r="F44" s="98" t="inlineStr">
        <is>
          <t>GATE-AR → M.Plan/M.Arch · CEED → M.Des · UPSC CSE · CAT → MBA</t>
        </is>
      </c>
      <c r="G44" s="98" t="inlineStr">
        <is>
          <t>1–2 years</t>
        </is>
      </c>
    </row>
    <row r="45" ht="88" customHeight="1" s="63">
      <c r="A45" s="99" t="inlineStr">
        <is>
          <t>BHM (Hotel Management)</t>
        </is>
      </c>
      <c r="B45" s="100" t="inlineStr"/>
      <c r="C45" s="101" t="inlineStr">
        <is>
          <t>Hotel Operations · F&amp;B Manager · Chef · Front Office · Cruise &amp; airline hospitality</t>
        </is>
      </c>
      <c r="D45" s="101" t="inlineStr">
        <is>
          <t>Event Manager · Travel &amp; Tourism Manager · Culinary Entrepreneur · Sommelier · Customer Success · Facility Management</t>
        </is>
      </c>
      <c r="E45" s="101" t="inlineStr">
        <is>
          <t>IAS/IPS (UPSC) · Bank PO · HR Manager · Sales &amp; BD · Marketing · Entrepreneur</t>
        </is>
      </c>
      <c r="F45" s="101" t="inlineStr">
        <is>
          <t>MBA Hospitality · WSET · CAT → MBA · UPSC CSE</t>
        </is>
      </c>
      <c r="G45" s="101" t="inlineStr">
        <is>
          <t>0–2 years</t>
        </is>
      </c>
    </row>
    <row r="46" ht="88" customHeight="1" s="63">
      <c r="A46" s="96" t="inlineStr">
        <is>
          <t>LLB / BA-LLB</t>
        </is>
      </c>
      <c r="B46" s="97" t="inlineStr"/>
      <c r="C46" s="98" t="inlineStr">
        <is>
          <t>Advocate · Corporate Lawyer · Judiciary (PCS-J) · Legal Counsel</t>
        </is>
      </c>
      <c r="D46" s="98" t="inlineStr">
        <is>
          <t>Compliance Officer · Legal Operations · Company Secretary · Contract Manager · Policy Analyst · AI Ethics &amp; Policy · Employee Relations / IR</t>
        </is>
      </c>
      <c r="E46" s="98" t="inlineStr">
        <is>
          <t>IAS/IPS (UPSC) · Bank PO · Management Consultant · Investment Banking (legal) · Journalism · Entrepreneur</t>
        </is>
      </c>
      <c r="F46" s="98" t="inlineStr">
        <is>
          <t>AIBE · PCS-J · ICSI · NISM/IIBF compliance certifications · UPSC CSE</t>
        </is>
      </c>
      <c r="G46" s="98" t="inlineStr">
        <is>
          <t>0–2 years</t>
        </is>
      </c>
    </row>
    <row r="47" ht="88" customHeight="1" s="63">
      <c r="A47" s="99" t="inlineStr">
        <is>
          <t>BPEd / B.Sc Sports Science</t>
        </is>
      </c>
      <c r="B47" s="100" t="inlineStr"/>
      <c r="C47" s="101" t="inlineStr">
        <is>
          <t>PE Teacher · Sports Coach (NIS) · Athlete support staff</t>
        </is>
      </c>
      <c r="D47" s="101" t="inlineStr">
        <is>
          <t>Sports Scientist · Strength &amp; Conditioning Coach · Fitness Trainer · Sports Manager/Agent · Sports Analytics · Sports Broadcaster</t>
        </is>
      </c>
      <c r="E47" s="101" t="inlineStr">
        <is>
          <t>UPSC CSE · Bank PO · Corporate Trainer · Event Manager · HR (L&amp;D) · Entrepreneur</t>
        </is>
      </c>
      <c r="F47" s="101" t="inlineStr">
        <is>
          <t>NIS Patiala Diploma · NSCA-CSCS · M.Sc Sports Science · MBA Sports Management</t>
        </is>
      </c>
      <c r="G47" s="101" t="inlineStr">
        <is>
          <t>6 months – 2 years</t>
        </is>
      </c>
    </row>
    <row r="48" ht="88" customHeight="1" s="63">
      <c r="A48" s="96" t="inlineStr">
        <is>
          <t>BSW / MSW (Social Work)</t>
        </is>
      </c>
      <c r="B48" s="97" t="inlineStr"/>
      <c r="C48" s="98" t="inlineStr">
        <is>
          <t>Social Worker · Community Development Officer · Counsellor · Field Programme Officer</t>
        </is>
      </c>
      <c r="D48" s="98" t="inlineStr">
        <is>
          <t>NGO Programme Manager · CSR Manager · Fundraising &amp; Grants · Impact Evaluation · Public Health Programme Officer · D&amp;I Manager · Employee Relations</t>
        </is>
      </c>
      <c r="E48" s="98" t="inlineStr">
        <is>
          <t>IAS/IPS (UPSC) · HR Business Partner · Bank PO · Policy Analyst · Corporate Trainer · Journalism</t>
        </is>
      </c>
      <c r="F48" s="98" t="inlineStr">
        <is>
          <t>TISSNET → MA HRM/Development · MPH · UPSC CSE · DEI certification</t>
        </is>
      </c>
      <c r="G48" s="98" t="inlineStr">
        <is>
          <t>0–2 years</t>
        </is>
      </c>
    </row>
    <row r="49" ht="88" customHeight="1" s="63">
      <c r="A49" s="99" t="inlineStr">
        <is>
          <t>B.Ed / teaching background</t>
        </is>
      </c>
      <c r="B49" s="100" t="inlineStr"/>
      <c r="C49" s="101" t="inlineStr">
        <is>
          <t>School Teacher · Subject Head · Special Educator · Principal (with experience)</t>
        </is>
      </c>
      <c r="D49" s="101" t="inlineStr">
        <is>
          <t>Instructional Designer · Academic Content Developer · EdTech product roles · Test Prep Educator · Career Counsellor · Corporate Trainer · L&amp;D Manager</t>
        </is>
      </c>
      <c r="E49" s="101" t="inlineStr">
        <is>
          <t>UPSC CSE · State PSC · Bank PO · HR Business Partner · Content Strategy · EdTech entrepreneur</t>
        </is>
      </c>
      <c r="F49" s="101" t="inlineStr">
        <is>
          <t>CTET/TET · M.Ed · instructional design certification · counselling certification · UPSC CSE</t>
        </is>
      </c>
      <c r="G49" s="101" t="inlineStr">
        <is>
          <t>0–18 months</t>
        </is>
      </c>
    </row>
    <row r="50" ht="88" customHeight="1" s="63">
      <c r="A50" s="96" t="inlineStr">
        <is>
          <t>B.Voc / Diploma / Polytechnic</t>
        </is>
      </c>
      <c r="B50" s="97" t="inlineStr"/>
      <c r="C50" s="98" t="inlineStr">
        <is>
          <t>Technician · Supervisor · Skilled trade roles</t>
        </is>
      </c>
      <c r="D50" s="98" t="inlineStr">
        <is>
          <t>Lateral entry to B.Tech (2nd year) · CNC &amp; automation · Drone Pilot · IT Support · Field Service Engineer · Quality Inspector</t>
        </is>
      </c>
      <c r="E50" s="98" t="inlineStr">
        <is>
          <t>Sales · Retail Manager · Entrepreneur · Real Estate Consultant · Fitness Trainer · Content Creator · Bank clerical (after graduation)</t>
        </is>
      </c>
      <c r="F50" s="98" t="inlineStr">
        <is>
          <t>B.Tech lateral entry · DGCA Remote Pilot Certificate · CompTIA · trade certifications · open-university degree</t>
        </is>
      </c>
      <c r="G50" s="98" t="inlineStr">
        <is>
          <t>1–3 years</t>
        </is>
      </c>
    </row>
    <row r="51" ht="88" customHeight="1" s="63">
      <c r="A51" s="99" t="inlineStr">
        <is>
          <t>No degree / Class 12 only</t>
        </is>
      </c>
      <c r="B51" s="100" t="inlineStr"/>
      <c r="C51" s="101" t="inlineStr">
        <is>
          <t>—</t>
        </is>
      </c>
      <c r="D51" s="101" t="inlineStr">
        <is>
          <t>CA/CS/CMA Foundation · NDA (Defence) · DGCA CPL (with PCM) · Merchant Navy DNS · Fitness Trainer · Drone Pilot · Chef (IHM diploma) · Cabin Crew</t>
        </is>
      </c>
      <c r="E51" s="101" t="inlineStr">
        <is>
          <t>Content Creator · Entrepreneur · Real Estate Consultant · Sales · Makeup Artist · Tattoo Artist · Musician · Athlete · Esports Player · D2C Brand Founder</t>
        </is>
      </c>
      <c r="F51" s="101" t="inlineStr">
        <is>
          <t>ICAI/ICSI/ICMAI Foundation · NDA · DGCA CPL/RPC · certification-based trades · open-university graduation for exam eligibility</t>
        </is>
      </c>
      <c r="G51" s="101" t="inlineStr">
        <is>
          <t>0–4 years</t>
        </is>
      </c>
    </row>
  </sheetData>
  <autoFilter ref="A3:G51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ColWidth="12.63" defaultRowHeight="15" customHeight="1"/>
  <cols>
    <col width="34" customWidth="1" style="63" min="1" max="1"/>
    <col width="78" customWidth="1" style="63" min="2" max="2"/>
    <col width="46" customWidth="1" style="63" min="3" max="3"/>
    <col width="7.63" customWidth="1" style="63" min="4" max="11"/>
  </cols>
  <sheetData>
    <row r="1" ht="30" customHeight="1" s="63">
      <c r="A1" s="67" t="inlineStr">
        <is>
          <t>LOCUS — THRESHOLD LOGIC, CCFS FORMULA &amp; SUPABASE INTEGRATION SPEC</t>
        </is>
      </c>
    </row>
    <row r="2" ht="24" customHeight="1" s="63">
      <c r="A2" s="62" t="inlineStr">
        <is>
          <t>STATUS THRESHOLDS</t>
        </is>
      </c>
      <c r="B2" s="62" t="n"/>
      <c r="C2" s="62" t="n"/>
    </row>
    <row r="3" ht="21.75" customHeight="1" s="63">
      <c r="A3" s="11" t="inlineStr">
        <is>
          <t>Fit Score ≥ 72</t>
        </is>
      </c>
      <c r="B3" s="11" t="inlineStr">
        <is>
          <t>🟢 BEST FIT — Show in top tier, highlighted</t>
        </is>
      </c>
      <c r="C3" s="11" t="inlineStr">
        <is>
          <t>Green card, shown first</t>
        </is>
      </c>
    </row>
    <row r="4" ht="21.75" customHeight="1" s="63">
      <c r="A4" s="23" t="inlineStr">
        <is>
          <t>Fit Score 52–71</t>
        </is>
      </c>
      <c r="B4" s="23" t="inlineStr">
        <is>
          <t>🟡 CONSIDER — Show faded below top 3</t>
        </is>
      </c>
      <c r="C4" s="23" t="inlineStr">
        <is>
          <t>Orange card, secondary</t>
        </is>
      </c>
    </row>
    <row r="5" ht="21.75" customHeight="1" s="63">
      <c r="A5" s="11" t="inlineStr">
        <is>
          <t>Fit Score &lt; 52</t>
        </is>
      </c>
      <c r="B5" s="11" t="inlineStr">
        <is>
          <t>🔴 MISMATCH — Filtered out / not shown</t>
        </is>
      </c>
      <c r="C5" s="11" t="inlineStr">
        <is>
          <t>Hidden or greyed out</t>
        </is>
      </c>
    </row>
    <row r="6" ht="21.75" customHeight="1" s="63">
      <c r="A6" s="23" t="n"/>
      <c r="B6" s="23" t="n"/>
      <c r="C6" s="23" t="n"/>
    </row>
    <row r="7" ht="24" customHeight="1" s="63">
      <c r="A7" s="62" t="inlineStr">
        <is>
          <t>CCFS FORMULA WEIGHTS</t>
        </is>
      </c>
      <c r="B7" s="62" t="n"/>
      <c r="C7" s="62" t="n"/>
    </row>
    <row r="8" ht="21.75" customHeight="1" s="63">
      <c r="A8" s="23" t="inlineStr">
        <is>
          <t>Holland RIASEC</t>
        </is>
      </c>
      <c r="B8" s="23" t="inlineStr">
        <is>
          <t>25% weight</t>
        </is>
      </c>
      <c r="C8" s="23" t="inlineStr">
        <is>
          <t>Environment-person fit</t>
        </is>
      </c>
    </row>
    <row r="9" ht="21.75" customHeight="1" s="63">
      <c r="A9" s="11" t="inlineStr">
        <is>
          <t>Big Five OCEAN</t>
        </is>
      </c>
      <c r="B9" s="11" t="inlineStr">
        <is>
          <t>20% weight</t>
        </is>
      </c>
      <c r="C9" s="11" t="inlineStr">
        <is>
          <t>Persistence probability</t>
        </is>
      </c>
    </row>
    <row r="10" ht="21.75" customHeight="1" s="63">
      <c r="A10" s="23" t="inlineStr">
        <is>
          <t>SDT Motivation</t>
        </is>
      </c>
      <c r="B10" s="23" t="inlineStr">
        <is>
          <t>25% weight</t>
        </is>
      </c>
      <c r="C10" s="23" t="inlineStr">
        <is>
          <t>Intrinsic vs extrinsic flag</t>
        </is>
      </c>
    </row>
    <row r="11" ht="21.75" customHeight="1" s="63">
      <c r="A11" s="11" t="inlineStr">
        <is>
          <t>Multiple Intelligence</t>
        </is>
      </c>
      <c r="B11" s="11" t="inlineStr">
        <is>
          <t>20% weight</t>
        </is>
      </c>
      <c r="C11" s="11" t="inlineStr">
        <is>
          <t>Cognitive task alignment</t>
        </is>
      </c>
    </row>
    <row r="12" ht="21.75" customHeight="1" s="63">
      <c r="A12" s="23" t="inlineStr">
        <is>
          <t>Career Decision-Making</t>
        </is>
      </c>
      <c r="B12" s="23" t="inlineStr">
        <is>
          <t>10% weight</t>
        </is>
      </c>
      <c r="C12" s="23" t="inlineStr">
        <is>
          <t>Readiness stage factor</t>
        </is>
      </c>
    </row>
    <row r="13" ht="21.75" customHeight="1" s="63">
      <c r="A13" s="11" t="n"/>
      <c r="B13" s="11" t="n"/>
      <c r="C13" s="11" t="n"/>
    </row>
    <row r="14" ht="24" customHeight="1" s="63">
      <c r="A14" s="62" t="inlineStr">
        <is>
          <t>SDT OVERRIDE RULE</t>
        </is>
      </c>
      <c r="B14" s="62" t="n"/>
      <c r="C14" s="62" t="n"/>
    </row>
    <row r="15" ht="21.75" customHeight="1" s="63">
      <c r="A15" s="11" t="inlineStr">
        <is>
          <t>If SDT score &lt; 50</t>
        </is>
      </c>
      <c r="B15" s="11" t="inlineStr">
        <is>
          <t>Apply 0.85× multiplier to CCFS</t>
        </is>
      </c>
      <c r="C15" s="11" t="inlineStr">
        <is>
          <t>Risk flag: extrinsic motivation</t>
        </is>
      </c>
    </row>
    <row r="16" ht="21.75" customHeight="1" s="63">
      <c r="A16" s="23" t="inlineStr">
        <is>
          <t>If SDT score &lt; 35</t>
        </is>
      </c>
      <c r="B16" s="23" t="inlineStr">
        <is>
          <t>Show warning in UI</t>
        </is>
      </c>
      <c r="C16" s="23" t="inlineStr">
        <is>
          <t>'Your motivation appears external — explore why'</t>
        </is>
      </c>
    </row>
    <row r="17" ht="21.75" customHeight="1" s="63">
      <c r="A17" s="11" t="n"/>
      <c r="B17" s="11" t="n"/>
      <c r="C17" s="11" t="n"/>
    </row>
    <row r="18" ht="24" customHeight="1" s="63">
      <c r="A18" s="62" t="inlineStr">
        <is>
          <t>SUPABASE SCHEMA</t>
        </is>
      </c>
      <c r="B18" s="62" t="n"/>
      <c r="C18" s="62" t="n"/>
    </row>
    <row r="19" ht="21.75" customHeight="1" s="63">
      <c r="A19" s="11" t="inlineStr">
        <is>
          <t>Table: quiz_responses</t>
        </is>
      </c>
      <c r="B19" s="11" t="inlineStr">
        <is>
          <t>student_id, question_id, option_selected, h_score, o_score, s_score, m_score, d_score, created_at</t>
        </is>
      </c>
      <c r="C19" s="11" t="inlineStr">
        <is>
          <t>One row per question per student</t>
        </is>
      </c>
    </row>
    <row r="20" ht="21.75" customHeight="1" s="63">
      <c r="A20" s="23" t="inlineStr">
        <is>
          <t>Table: student_profiles</t>
        </is>
      </c>
      <c r="B20" s="23" t="inlineStr">
        <is>
          <t>student_id, holland_total, ocean_total, sdt_total, mi_total, cdm_total, ccfs, adjusted_ccfs, created_at</t>
        </is>
      </c>
      <c r="C20" s="23" t="inlineStr">
        <is>
          <t>Computed after all 25 Q answered</t>
        </is>
      </c>
    </row>
    <row r="21" ht="21.75" customHeight="1" s="63">
      <c r="A21" s="11" t="inlineStr">
        <is>
          <t>Table: career_paths</t>
        </is>
      </c>
      <c r="B21" s="11" t="inlineStr">
        <is>
          <t>career_id, name, domain, h_profile, o_profile, s_profile, m_profile, d_profile</t>
        </is>
      </c>
      <c r="C21" s="11" t="inlineStr">
        <is>
          <t>Static reference table</t>
        </is>
      </c>
    </row>
    <row r="22" ht="21.75" customHeight="1" s="63">
      <c r="A22" s="23" t="inlineStr">
        <is>
          <t>Table: career_matches</t>
        </is>
      </c>
      <c r="B22" s="23" t="inlineStr">
        <is>
          <t>student_id, career_id, fit_score, status, rank, created_at</t>
        </is>
      </c>
      <c r="C22" s="23" t="inlineStr">
        <is>
          <t>Computed on quiz completion</t>
        </is>
      </c>
    </row>
    <row r="23" ht="21.75" customHeight="1" s="63">
      <c r="A23" s="11" t="n"/>
      <c r="B23" s="11" t="n"/>
      <c r="C23" s="11" t="n"/>
    </row>
    <row r="24" ht="24" customHeight="1" s="63">
      <c r="A24" s="62" t="inlineStr">
        <is>
          <t>SUPABASE EDGE FUNCTION</t>
        </is>
      </c>
      <c r="B24" s="62" t="n"/>
      <c r="C24" s="62" t="n"/>
    </row>
    <row r="25" ht="21.75" customHeight="1" s="63">
      <c r="A25" s="11" t="inlineStr">
        <is>
          <t>Trigger:</t>
        </is>
      </c>
      <c r="B25" s="11" t="inlineStr">
        <is>
          <t>On INSERT to quiz_responses where question_id = 25</t>
        </is>
      </c>
      <c r="C25" s="11" t="inlineStr">
        <is>
          <t>Fires after final question</t>
        </is>
      </c>
    </row>
    <row r="26" ht="21.75" customHeight="1" s="63">
      <c r="A26" s="23" t="inlineStr">
        <is>
          <t>Step 1:</t>
        </is>
      </c>
      <c r="B26" s="23" t="inlineStr">
        <is>
          <t>SELECT SUM scores grouped by student_id</t>
        </is>
      </c>
      <c r="C26" s="23" t="inlineStr">
        <is>
          <t>Aggregate all 25 answers</t>
        </is>
      </c>
    </row>
    <row r="27" ht="21.75" customHeight="1" s="63">
      <c r="A27" s="11" t="inlineStr">
        <is>
          <t>Step 2:</t>
        </is>
      </c>
      <c r="B27" s="11" t="inlineStr">
        <is>
          <t>Normalise each theory score ÷ max × 100</t>
        </is>
      </c>
      <c r="C27" s="11" t="inlineStr">
        <is>
          <t>Get 0-100 per theory</t>
        </is>
      </c>
    </row>
    <row r="28" ht="21.75" customHeight="1" s="63">
      <c r="A28" s="23" t="inlineStr">
        <is>
          <t>Step 3:</t>
        </is>
      </c>
      <c r="B28" s="23" t="inlineStr">
        <is>
          <t>CCFS = H×0.25 + O×0.20 + S×0.25 + MI×0.20 + D×0.10</t>
        </is>
      </c>
      <c r="C28" s="23" t="inlineStr">
        <is>
          <t>Weighted composite</t>
        </is>
      </c>
    </row>
    <row r="29" ht="21.75" customHeight="1" s="63">
      <c r="A29" s="11" t="inlineStr">
        <is>
          <t>Step 4:</t>
        </is>
      </c>
      <c r="B29" s="11" t="inlineStr">
        <is>
          <t>IF SDT &lt; 50: adjusted_ccfs = ccfs × 0.85</t>
        </is>
      </c>
      <c r="C29" s="11" t="inlineStr">
        <is>
          <t>Apply override</t>
        </is>
      </c>
    </row>
    <row r="30" ht="21.75" customHeight="1" s="63">
      <c r="A30" s="23" t="inlineStr">
        <is>
          <t>Step 5:</t>
        </is>
      </c>
      <c r="B30" s="23" t="inlineStr">
        <is>
          <t>For each career: fit_score = 100 − weighted delta from profile</t>
        </is>
      </c>
      <c r="C30" s="23" t="inlineStr">
        <is>
          <t>Match all 127 careers</t>
        </is>
      </c>
    </row>
    <row r="31" ht="21.75" customHeight="1" s="63">
      <c r="A31" s="11" t="inlineStr">
        <is>
          <t>Step 6:</t>
        </is>
      </c>
      <c r="B31" s="11" t="inlineStr">
        <is>
          <t>INSERT into career_matches sorted by fit_score DESC</t>
        </is>
      </c>
      <c r="C31" s="11" t="inlineStr">
        <is>
          <t>Store results</t>
        </is>
      </c>
    </row>
    <row r="32" ht="21.75" customHeight="1" s="63">
      <c r="A32" s="23" t="inlineStr">
        <is>
          <t>Step 7:</t>
        </is>
      </c>
      <c r="B32" s="23" t="inlineStr">
        <is>
          <t>Return top 3 (≥72), next tier (52-71) to frontend</t>
        </is>
      </c>
      <c r="C32" s="23" t="inlineStr">
        <is>
          <t>API response</t>
        </is>
      </c>
    </row>
    <row r="33" ht="21.75" customHeight="1" s="63">
      <c r="A33" s="11" t="n"/>
      <c r="B33" s="11" t="n"/>
      <c r="C33" s="11" t="n"/>
    </row>
    <row r="34" ht="24" customHeight="1" s="63">
      <c r="A34" s="62" t="inlineStr">
        <is>
          <t>FRONTEND DISPLAY LOGIC</t>
        </is>
      </c>
      <c r="B34" s="62" t="n"/>
      <c r="C34" s="62" t="n"/>
    </row>
    <row r="35" ht="21.75" customHeight="1" s="63">
      <c r="A35" s="11" t="inlineStr">
        <is>
          <t>Top 3 (BEST FIT)</t>
        </is>
      </c>
      <c r="B35" s="11" t="inlineStr">
        <is>
          <t>Full card, colour accent, rank 1–3 shown prominently</t>
        </is>
      </c>
      <c r="C35" s="11" t="inlineStr">
        <is>
          <t>Green border</t>
        </is>
      </c>
    </row>
    <row r="36" ht="21.75" customHeight="1" s="63">
      <c r="A36" s="23" t="inlineStr">
        <is>
          <t>Next tier (CONSIDER)</t>
        </is>
      </c>
      <c r="B36" s="23" t="inlineStr">
        <is>
          <t>Faded card below fold, 60% opacity, swipeable</t>
        </is>
      </c>
      <c r="C36" s="23" t="inlineStr">
        <is>
          <t>Orange indicator</t>
        </is>
      </c>
    </row>
    <row r="37" ht="21.75" customHeight="1" s="63">
      <c r="A37" s="11" t="inlineStr">
        <is>
          <t>MISMATCH</t>
        </is>
      </c>
      <c r="B37" s="11" t="inlineStr">
        <is>
          <t>Not shown unless student taps 'See all'</t>
        </is>
      </c>
      <c r="C37" s="11" t="inlineStr">
        <is>
          <t>Hidden by default</t>
        </is>
      </c>
    </row>
    <row r="38" ht="21.75" customHeight="1" s="63">
      <c r="A38" s="23" t="n"/>
      <c r="B38" s="23" t="n"/>
      <c r="C38" s="23" t="n"/>
    </row>
    <row r="39" ht="24" customHeight="1" s="63">
      <c r="A39" s="62" t="inlineStr">
        <is>
          <t>API RESPONSE SHAPE</t>
        </is>
      </c>
      <c r="B39" s="62" t="n"/>
      <c r="C39" s="62" t="n"/>
    </row>
    <row r="40" ht="21.75" customHeight="1" s="63">
      <c r="A40" s="23" t="inlineStr">
        <is>
          <t>JSON structure:</t>
        </is>
      </c>
      <c r="B40" s="23" t="inlineStr">
        <is>
          <t>{ student_id, ccfs, adjusted_ccfs, sdt_flag: bool,</t>
        </is>
      </c>
      <c r="C40" s="23" t="n"/>
    </row>
    <row r="41" ht="21.75" customHeight="1" s="63">
      <c r="A41" s="11" t="n"/>
      <c r="B41" s="11" t="inlineStr">
        <is>
          <t xml:space="preserve">  top_matches: [{career_id, name, domain, fit_score, status, rank}],</t>
        </is>
      </c>
      <c r="C41" s="11" t="n"/>
    </row>
    <row r="42" ht="21.75" customHeight="1" s="63">
      <c r="A42" s="23" t="n"/>
      <c r="B42" s="23" t="inlineStr">
        <is>
          <t xml:space="preserve">  secondary_matches: [...], motivation_note: string }</t>
        </is>
      </c>
      <c r="C42" s="23" t="n"/>
    </row>
    <row r="43" ht="15.75" customHeight="1" s="63"/>
    <row r="44" ht="22" customHeight="1" s="63">
      <c r="A44" s="102" t="inlineStr">
        <is>
          <t>DEGREE-PIVOT LAYER — NEW FIELDS</t>
        </is>
      </c>
      <c r="B44" s="103" t="n"/>
      <c r="C44" s="103" t="n"/>
    </row>
    <row r="45" ht="28" customHeight="1" s="63">
      <c r="A45" s="104" t="inlineStr">
        <is>
          <t>typical_degree</t>
        </is>
      </c>
      <c r="B45" s="105" t="inlineStr">
        <is>
          <t>Text — the conventional undergraduate path for this career</t>
        </is>
      </c>
      <c r="C45" s="105" t="inlineStr">
        <is>
          <t>Career Match Engine col O</t>
        </is>
      </c>
    </row>
    <row r="46" ht="28" customHeight="1" s="63">
      <c r="A46" s="104" t="inlineStr">
        <is>
          <t>degree_agnostic</t>
        </is>
      </c>
      <c r="B46" s="105" t="inlineStr">
        <is>
          <t>Enum: 'Yes' | 'Partly' | 'No'</t>
        </is>
      </c>
      <c r="C46" s="105" t="inlineStr">
        <is>
          <t>Career Match Engine col P</t>
        </is>
      </c>
    </row>
    <row r="47" ht="28" customHeight="1" s="63">
      <c r="A47" s="104" t="inlineStr">
        <is>
          <t>alt_entry_route</t>
        </is>
      </c>
      <c r="B47" s="105" t="inlineStr">
        <is>
          <t>Text — how to reach the career without the typical degree</t>
        </is>
      </c>
      <c r="C47" s="105" t="inlineStr">
        <is>
          <t>Career Match Engine col Q</t>
        </is>
      </c>
    </row>
    <row r="48" ht="28" customHeight="1" s="63">
      <c r="A48" s="104" t="inlineStr">
        <is>
          <t>pivot_from</t>
        </is>
      </c>
      <c r="B48" s="105" t="inlineStr">
        <is>
          <t>Text — which bachelor's degrees commonly feed this career</t>
        </is>
      </c>
      <c r="C48" s="105" t="inlineStr">
        <is>
          <t>Career Match Engine col R</t>
        </is>
      </c>
    </row>
    <row r="49" ht="28" customHeight="1" s="63">
      <c r="A49" s="104" t="inlineStr">
        <is>
          <t>gate_type</t>
        </is>
      </c>
      <c r="B49" s="105" t="inlineStr">
        <is>
          <t>Derived: 'Open' (Yes) | 'Bridge' (Partly) | 'Locked' (No)</t>
        </is>
      </c>
      <c r="C49" s="105" t="inlineStr">
        <is>
          <t>Computed in the edge function</t>
        </is>
      </c>
    </row>
    <row r="50" ht="22" customHeight="1" s="63">
      <c r="A50" s="102" t="inlineStr">
        <is>
          <t>UPDATED SUPABASE SCHEMA</t>
        </is>
      </c>
      <c r="B50" s="103" t="n"/>
      <c r="C50" s="103" t="n"/>
    </row>
    <row r="51" ht="28" customHeight="1" s="63">
      <c r="A51" s="104" t="inlineStr">
        <is>
          <t>Table: career_paths</t>
        </is>
      </c>
      <c r="B51" s="105" t="inlineStr">
        <is>
          <t>career_id, name, domain, h_profile, o_profile, s_profile, m_profile, d_profile, typical_degree, degree_agnostic, alt_entry_route, pivot_from, gate_type</t>
        </is>
      </c>
      <c r="C51" s="105" t="inlineStr">
        <is>
          <t>Static reference — now 252 rows</t>
        </is>
      </c>
    </row>
    <row r="52" ht="28" customHeight="1" s="63">
      <c r="A52" s="104" t="inlineStr">
        <is>
          <t>Table: degree_pivot_map</t>
        </is>
      </c>
      <c r="B52" s="105" t="inlineStr">
        <is>
          <t>id, degree_name, topology_degree_id (nullable FK), direct_careers[], adjacent_careers[], full_pivot_careers[], bridge_qualification, time_to_pivot</t>
        </is>
      </c>
      <c r="C52" s="105" t="inlineStr">
        <is>
          <t>Static reference — 48 rows; the first 26 join onto career-topology.json</t>
        </is>
      </c>
    </row>
    <row r="53" ht="28" customHeight="1" s="63">
      <c r="A53" s="104" t="inlineStr">
        <is>
          <t>Table: student_profiles</t>
        </is>
      </c>
      <c r="B53" s="105" t="inlineStr">
        <is>
          <t>… existing columns … + current_degree (nullable), degree_id (FK)</t>
        </is>
      </c>
      <c r="C53" s="105" t="inlineStr">
        <is>
          <t>Captured at signup or in Q1</t>
        </is>
      </c>
    </row>
    <row r="54" ht="28" customHeight="1" s="63">
      <c r="A54" s="104" t="inlineStr">
        <is>
          <t>Table: career_matches</t>
        </is>
      </c>
      <c r="B54" s="105" t="inlineStr">
        <is>
          <t>… existing columns … + track (enum: aligned | bridge | pivot)</t>
        </is>
      </c>
      <c r="C54" s="105" t="inlineStr">
        <is>
          <t>Computed on quiz completion</t>
        </is>
      </c>
    </row>
    <row r="55" ht="22" customHeight="1" s="63">
      <c r="A55" s="102" t="inlineStr">
        <is>
          <t>TRACK CLASSIFICATION — RUNS AFTER FIT SCORING</t>
        </is>
      </c>
      <c r="B55" s="103" t="n"/>
      <c r="C55" s="103" t="n"/>
    </row>
    <row r="56" ht="28" customHeight="1" s="63">
      <c r="A56" s="104" t="inlineStr">
        <is>
          <t>aligned</t>
        </is>
      </c>
      <c r="B56" s="105" t="inlineStr">
        <is>
          <t>student.degree_id appears in the career's pivot_from list</t>
        </is>
      </c>
      <c r="C56" s="105" t="inlineStr">
        <is>
          <t>Show under "Built on your degree"</t>
        </is>
      </c>
    </row>
    <row r="57" ht="28" customHeight="1" s="63">
      <c r="A57" s="104" t="inlineStr">
        <is>
          <t>bridge</t>
        </is>
      </c>
      <c r="B57" s="105" t="inlineStr">
        <is>
          <t>degree_agnostic = 'Partly' AND degree not in pivot_from</t>
        </is>
      </c>
      <c r="C57" s="105" t="inlineStr">
        <is>
          <t>Show under "Reachable with one bridge qualification"</t>
        </is>
      </c>
    </row>
    <row r="58" ht="28" customHeight="1" s="63">
      <c r="A58" s="104" t="inlineStr">
        <is>
          <t>pivot</t>
        </is>
      </c>
      <c r="B58" s="105" t="inlineStr">
        <is>
          <t>degree_agnostic = 'Yes'</t>
        </is>
      </c>
      <c r="C58" s="105" t="inlineStr">
        <is>
          <t>Show under "Open to you regardless of your degree"</t>
        </is>
      </c>
    </row>
    <row r="59" ht="28" customHeight="1" s="63">
      <c r="A59" s="104" t="inlineStr">
        <is>
          <t>locked</t>
        </is>
      </c>
      <c r="B59" s="105" t="inlineStr">
        <is>
          <t>degree_agnostic = 'No' AND degree not in pivot_from</t>
        </is>
      </c>
      <c r="C59" s="105" t="inlineStr">
        <is>
          <t>Hide by default; surface only under "See all" with a gate warning</t>
        </is>
      </c>
    </row>
    <row r="60" ht="22" customHeight="1" s="63">
      <c r="A60" s="102" t="inlineStr">
        <is>
          <t>DEGREE-PIVOT DISPLAY LOGIC</t>
        </is>
      </c>
      <c r="B60" s="103" t="n"/>
      <c r="C60" s="103" t="n"/>
    </row>
    <row r="61" ht="28" customHeight="1" s="63">
      <c r="A61" s="104" t="inlineStr">
        <is>
          <t>Section 1 — Built on your degree</t>
        </is>
      </c>
      <c r="B61" s="105" t="inlineStr">
        <is>
          <t>Top matches where track = aligned</t>
        </is>
      </c>
      <c r="C61" s="105" t="inlineStr">
        <is>
          <t>Green accent, shown first</t>
        </is>
      </c>
    </row>
    <row r="62" ht="28" customHeight="1" s="63">
      <c r="A62" s="104" t="inlineStr">
        <is>
          <t>Section 2 — One bridge away</t>
        </is>
      </c>
      <c r="B62" s="105" t="inlineStr">
        <is>
          <t>Top matches where track = bridge; show alt_entry_route as the CTA</t>
        </is>
      </c>
      <c r="C62" s="105" t="inlineStr">
        <is>
          <t>Blue accent, shows the qualification needed</t>
        </is>
      </c>
    </row>
    <row r="63" ht="28" customHeight="1" s="63">
      <c r="A63" s="104" t="inlineStr">
        <is>
          <t>Section 3 — Open to any degree</t>
        </is>
      </c>
      <c r="B63" s="105" t="inlineStr">
        <is>
          <t>Top matches where track = pivot — this is the "you are not stuck" section</t>
        </is>
      </c>
      <c r="C63" s="105" t="inlineStr">
        <is>
          <t>Purple accent, the key differentiator</t>
        </is>
      </c>
    </row>
    <row r="64" ht="28" customHeight="1" s="63">
      <c r="A64" s="104" t="inlineStr">
        <is>
          <t>Section 4 — Requires a different degree</t>
        </is>
      </c>
      <c r="B64" s="105" t="inlineStr">
        <is>
          <t>track = locked, collapsed by default</t>
        </is>
      </c>
      <c r="C64" s="105" t="inlineStr">
        <is>
          <t>Grey, honest about the gate</t>
        </is>
      </c>
    </row>
    <row r="65" ht="28" customHeight="1" s="63">
      <c r="A65" s="104" t="inlineStr">
        <is>
          <t>Rule</t>
        </is>
      </c>
      <c r="B65" s="105" t="inlineStr">
        <is>
          <t>Every student must see at least 3 careers in Section 3 even if their fit scores are lower</t>
        </is>
      </c>
      <c r="C65" s="105" t="inlineStr">
        <is>
          <t>Prevents a dead-end result screen</t>
        </is>
      </c>
    </row>
    <row r="66" ht="22" customHeight="1" s="63">
      <c r="A66" s="102" t="inlineStr">
        <is>
          <t>UPDATED API RESPONSE SHAPE</t>
        </is>
      </c>
      <c r="B66" s="103" t="n"/>
      <c r="C66" s="103" t="n"/>
    </row>
    <row r="67" ht="28" customHeight="1" s="63">
      <c r="A67" s="104" t="inlineStr">
        <is>
          <t>JSON structure:</t>
        </is>
      </c>
      <c r="B67" s="105" t="inlineStr">
        <is>
          <t>{ student_id, ccfs, adjusted_ccfs, sdt_flag: bool, current_degree,</t>
        </is>
      </c>
      <c r="C67" s="105" t="inlineStr"/>
    </row>
    <row r="68" ht="28" customHeight="1" s="63">
      <c r="A68" s="104" t="inlineStr"/>
      <c r="B68" s="105" t="inlineStr">
        <is>
          <t xml:space="preserve">  aligned: [{career_id, name, domain, fit_score, status, rank, typical_degree}],</t>
        </is>
      </c>
      <c r="C68" s="105" t="inlineStr"/>
    </row>
    <row r="69" ht="28" customHeight="1" s="63">
      <c r="A69" s="104" t="inlineStr"/>
      <c r="B69" s="105" t="inlineStr">
        <is>
          <t xml:space="preserve">  bridge: [{…, alt_entry_route, bridge_qualification, time_to_pivot}],</t>
        </is>
      </c>
      <c r="C69" s="105" t="inlineStr"/>
    </row>
    <row r="70" ht="28" customHeight="1" s="63">
      <c r="A70" s="104" t="inlineStr"/>
      <c r="B70" s="105" t="inlineStr">
        <is>
          <t xml:space="preserve">  pivot: [{…, alt_entry_route}],  locked: [{…, gate_reason}],</t>
        </is>
      </c>
      <c r="C70" s="105" t="inlineStr"/>
    </row>
    <row r="71" ht="28" customHeight="1" s="63">
      <c r="A71" s="104" t="inlineStr"/>
      <c r="B71" s="105" t="inlineStr">
        <is>
          <t xml:space="preserve">  degree_pivot_summary: { direct[], adjacent[], full[] }, motivation_note: string }</t>
        </is>
      </c>
      <c r="C71" s="105" t="inlineStr"/>
    </row>
    <row r="72" ht="15.75" customHeight="1" s="63"/>
    <row r="73" ht="15.75" customHeight="1" s="63"/>
    <row r="74" ht="15.75" customHeight="1" s="63"/>
    <row r="75" ht="15.75" customHeight="1" s="63"/>
    <row r="76" ht="15.75" customHeight="1" s="63"/>
    <row r="77" ht="15.75" customHeight="1" s="63"/>
    <row r="78" ht="15.75" customHeight="1" s="63"/>
    <row r="79" ht="15.75" customHeight="1" s="63"/>
    <row r="80" ht="15.75" customHeight="1" s="63"/>
    <row r="81" ht="15.75" customHeight="1" s="63"/>
    <row r="82" ht="15.75" customHeight="1" s="63"/>
    <row r="83" ht="15.75" customHeight="1" s="63"/>
    <row r="84" ht="15.75" customHeight="1" s="63"/>
    <row r="85" ht="15.75" customHeight="1" s="63"/>
    <row r="86" ht="15.75" customHeight="1" s="63"/>
    <row r="87" ht="15.75" customHeight="1" s="63"/>
    <row r="88" ht="15.75" customHeight="1" s="63"/>
    <row r="89" ht="15.75" customHeight="1" s="63"/>
    <row r="90" ht="15.75" customHeight="1" s="63"/>
    <row r="91" ht="15.75" customHeight="1" s="63"/>
    <row r="92" ht="15.75" customHeight="1" s="63"/>
    <row r="93" ht="15.75" customHeight="1" s="63"/>
    <row r="94" ht="15.75" customHeight="1" s="63"/>
    <row r="95" ht="15.75" customHeight="1" s="63"/>
    <row r="96" ht="15.75" customHeight="1" s="63"/>
    <row r="97" ht="15.75" customHeight="1" s="63"/>
    <row r="98" ht="15.75" customHeight="1" s="63"/>
    <row r="99" ht="15.75" customHeight="1" s="63"/>
    <row r="100" ht="15.75" customHeight="1" s="63"/>
  </sheetData>
  <mergeCells count="1">
    <mergeCell ref="A1:C1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2026-05-06T08:20:12Z</dcterms:created>
  <dcterms:modified xmlns:dcterms="http://purl.org/dc/terms/" xmlns:xsi="http://www.w3.org/2001/XMLSchema-instance" xsi:type="dcterms:W3CDTF">2026-07-30T09:36:25Z</dcterms:modified>
  <cp:revision>0</cp:revision>
</cp:coreProperties>
</file>